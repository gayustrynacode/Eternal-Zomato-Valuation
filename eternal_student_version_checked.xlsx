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tudy Guide" sheetId="1" state="visible" r:id="rId3"/>
    <sheet name="Cover" sheetId="2" state="visible" r:id="rId4"/>
    <sheet name="Assumptions" sheetId="3" state="visible" r:id="rId5"/>
    <sheet name="Historical" sheetId="4" state="visible" r:id="rId6"/>
    <sheet name="Operating Model" sheetId="5" state="visible" r:id="rId7"/>
    <sheet name="Valuation" sheetId="6" state="visible" r:id="rId8"/>
    <sheet name="Mini Projects" sheetId="7" state="visible" r:id="rId9"/>
    <sheet name="Sources" sheetId="8" state="visible" r:id="rId10"/>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13" authorId="0">
      <text>
        <r>
          <rPr>
            <sz val="10"/>
            <rFont val="Arial"/>
            <family val="2"/>
          </rPr>
          <t xml:space="preserve">The discount rate used to convert future cash flows into today’s value.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37" authorId="0">
      <text>
        <r>
          <rPr>
            <sz val="10"/>
            <rFont val="Arial"/>
            <family val="2"/>
          </rPr>
          <t xml:space="preserve">DCF value of the operating business before adding cash and subtracting debt-like items.</t>
        </r>
      </text>
    </comment>
  </commentList>
</comments>
</file>

<file path=xl/sharedStrings.xml><?xml version="1.0" encoding="utf-8"?>
<sst xmlns="http://schemas.openxmlformats.org/spreadsheetml/2006/main" count="924" uniqueCount="722">
  <si>
    <t xml:space="preserve">ETERNAL LTD. — STUDY GUIDE</t>
  </si>
  <si>
    <t xml:space="preserve">Purpose</t>
  </si>
  <si>
    <t xml:space="preserve">This is an undergraduate investment-research project. The aim is to understand how Eternal could create value across food delivery, quick commerce, going-out and B2B supplies.</t>
  </si>
  <si>
    <t xml:space="preserve">Main question</t>
  </si>
  <si>
    <t xml:space="preserve">Does the multi-business ecosystem create economic value, or is it just a collection of different businesses?</t>
  </si>
  <si>
    <t xml:space="preserve">THE MODEL IN ONE LINE</t>
  </si>
  <si>
    <t xml:space="preserve">Historical numbers → operating assumptions → forecast → DCF/SOTP → investment conclusion</t>
  </si>
  <si>
    <t xml:space="preserve">STEP 1 — Understand the businesses</t>
  </si>
  <si>
    <t xml:space="preserve">Zomato = food delivery; Blinkit = quick commerce; District = going-out; Hyperpure = B2B supplies.</t>
  </si>
  <si>
    <t xml:space="preserve">STEP 2 — Look at history</t>
  </si>
  <si>
    <t xml:space="preserve">Start with FY23–FY26 and ask: Is revenue growing? Are margins improving? Which business is driving growth?</t>
  </si>
  <si>
    <t xml:space="preserve">STEP 3 — Forecast the businesses</t>
  </si>
  <si>
    <t xml:space="preserve">For each major business, estimate growth and an eventual EBITDA margin. These are my assumptions, not company guidance.</t>
  </si>
  <si>
    <t xml:space="preserve">STEP 4 — Build group EBITDA</t>
  </si>
  <si>
    <t xml:space="preserve">Revenue × EBITDA margin gives a simple operating-profit view. Then combine the businesses.</t>
  </si>
  <si>
    <t xml:space="preserve">STEP 5 — Value the company</t>
  </si>
  <si>
    <t xml:space="preserve">DCF asks: What are future cash flows worth today? SOTP asks: What if each business is valued separately?</t>
  </si>
  <si>
    <t xml:space="preserve">STEP 6 — Compare with market price</t>
  </si>
  <si>
    <t xml:space="preserve">Compare my estimated value per share with the current share price. Then decide what the market seems to be assuming.</t>
  </si>
  <si>
    <t xml:space="preserve">NUMBERS I MUST KNOW</t>
  </si>
  <si>
    <t xml:space="preserve">Current share price: ₹316.80 | Base DCF: ~₹187/share | Base SOTP: ~₹258/share | Blended: ~₹223/share</t>
  </si>
  <si>
    <t xml:space="preserve">CORE INVESTMENT QUESTION</t>
  </si>
  <si>
    <t xml:space="preserve">The biggest debate in my model is whether Blinkit can keep growing rapidly while eventually reaching sustainable EBITDA margins.</t>
  </si>
  <si>
    <t xml:space="preserve">WORDS TO KNOW</t>
  </si>
  <si>
    <t xml:space="preserve">NOV = Net Order Value. EBITDA = operating profit before depreciation, interest and tax. DCF = Discounted Cash Flow. SOTP = Sum-of-the-Parts. WACC = discount rate used for DCF. Terminal value = value of cash flows after the explicit forecast period.</t>
  </si>
  <si>
    <t xml:space="preserve">WHAT I SHOULD NOT MEMORISE</t>
  </si>
  <si>
    <t xml:space="preserve">Do not memorise every cell. Understand why the number is there, what assumption drives it, and what happens if that assumption changes.</t>
  </si>
  <si>
    <t xml:space="preserve">ETERNAL LTD.</t>
  </si>
  <si>
    <t xml:space="preserve">Undergraduate Investment Research Project</t>
  </si>
  <si>
    <t xml:space="preserve">Prepared by : Gayathri Sudhir</t>
  </si>
  <si>
    <t xml:space="preserve">October 2026</t>
  </si>
  <si>
    <t xml:space="preserve">Eternal: From Food-Delivery Platform to Multi-Product Consumer Ecosystem</t>
  </si>
  <si>
    <t xml:space="preserve">Does Eternal's multi-product ecosystem actually create economic value, or is it simply adding businesses under one corporate umbrella?</t>
  </si>
  <si>
    <t xml:space="preserve">KEY OUTPUTS (live — active scenario)</t>
  </si>
  <si>
    <t xml:space="preserve">Active scenario</t>
  </si>
  <si>
    <t xml:space="preserve">Market price used (₹)</t>
  </si>
  <si>
    <t xml:space="preserve">DCF value per share (₹)</t>
  </si>
  <si>
    <t xml:space="preserve">SOTP value per share (₹)</t>
  </si>
  <si>
    <t xml:space="preserve">Blended value per share (₹)</t>
  </si>
  <si>
    <t xml:space="preserve">Blended upside / (downside)</t>
  </si>
  <si>
    <t xml:space="preserve">WACC</t>
  </si>
  <si>
    <t xml:space="preserve">Terminal growth</t>
  </si>
  <si>
    <t xml:space="preserve">FY29E Adj. EBITDA (US$ mn) vs management $1bn goal</t>
  </si>
  <si>
    <t xml:space="preserve">MODEL CHECKS (all should read OK)</t>
  </si>
  <si>
    <t xml:space="preserve">Historical P&amp;L ties to reported PBT and PAT</t>
  </si>
  <si>
    <t xml:space="preserve">Quarterly segment Adj. EBITDA sums to company-reported total</t>
  </si>
  <si>
    <t xml:space="preserve">FY26 reported EBITDA + SBC = reported segment results</t>
  </si>
  <si>
    <t xml:space="preserve">Forecast base year ties to quarterly tables</t>
  </si>
  <si>
    <t xml:space="preserve">WACC &gt; terminal growth</t>
  </si>
  <si>
    <t xml:space="preserve">Sensitivity-1 centre cell equals DCF value per share</t>
  </si>
  <si>
    <t xml:space="preserve">CONTENTS</t>
  </si>
  <si>
    <t xml:space="preserve">Assumptions</t>
  </si>
  <si>
    <t xml:space="preserve">WACC, market data, scenario selector (Bear/Base/Bull), operating drivers, SOTP multiples. Every judgement is labelled.</t>
  </si>
  <si>
    <t xml:space="preserve">Historical</t>
  </si>
  <si>
    <t xml:space="preserve">FY21–FY26 income statement from filings with tie-outs to reported PBT/PAT.</t>
  </si>
  <si>
    <t xml:space="preserve">Operating Model</t>
  </si>
  <si>
    <t xml:space="preserve">Quarterly segment KPIs, EBITDA bridge, 10-year segment forecast (Zomato, Blinkit, District, Hyperpure, Others).</t>
  </si>
  <si>
    <t xml:space="preserve">Valuation</t>
  </si>
  <si>
    <t xml:space="preserve">DCF, WACC×g sensitivity, SOTP, scenario summary, further sensitivities and investment thesis.</t>
  </si>
  <si>
    <t xml:space="preserve">Mini Projects</t>
  </si>
  <si>
    <t xml:space="preserve">1) Customer LTV  2) Advertising economics  3) Zomato vs Swiggy cross-sell  4) Blinkit implied valuation.</t>
  </si>
  <si>
    <t xml:space="preserve">Sources</t>
  </si>
  <si>
    <t xml:space="preserve">Every source with Primary/Secondary/Assumption tag, plus open items.</t>
  </si>
  <si>
    <t xml:space="preserve">COLOUR CODE</t>
  </si>
  <si>
    <t xml:space="preserve">Blue = hardcoded input</t>
  </si>
  <si>
    <t xml:space="preserve">Black = formula</t>
  </si>
  <si>
    <t xml:space="preserve">Green = link to another sheet</t>
  </si>
  <si>
    <t xml:space="preserve">Yellow fill = key judgement assumption (not disclosed)</t>
  </si>
  <si>
    <t xml:space="preserve">Study order: Study Guide → Historical → Operating Model → Valuation → Mini Projects → Sources</t>
  </si>
  <si>
    <t xml:space="preserve">Educational research project. Not investment advice. Figures marked Secondary or Assumption must be verified before relying on them.</t>
  </si>
  <si>
    <t xml:space="preserve">ETERNAL LTD. — ASSUMPTIONS</t>
  </si>
  <si>
    <t xml:space="preserve">Blue = hardcoded input | Black = formula | Green = link to other sheet | Yellow fill = key assumption (judgement, not disclosed). ₹ crore unless stated.</t>
  </si>
  <si>
    <t xml:space="preserve">Model Date</t>
  </si>
  <si>
    <t xml:space="preserve">Date the model inputs were refreshed.</t>
  </si>
  <si>
    <t xml:space="preserve">Forecast Period</t>
  </si>
  <si>
    <t xml:space="preserve">FY27E–FY36E (10 yrs)</t>
  </si>
  <si>
    <t xml:space="preserve">Fiscal year ends 31 March. 10-year explicit period because Blinkit/District margins and growth are still ramping; a 5-year DCF would put most value in a terminal year that has not reached steady state.</t>
  </si>
  <si>
    <t xml:space="preserve">VALUATION ASSUMPTIONS</t>
  </si>
  <si>
    <t xml:space="preserve">Risk-Free Rate</t>
  </si>
  <si>
    <t xml:space="preserve">ASSUMPTION from market data: India 10-yr G-sec ~6.7% (Trading Economics, 7-Jul-2026). Refresh before publishing.</t>
  </si>
  <si>
    <t xml:space="preserve">Equity Risk Premium</t>
  </si>
  <si>
    <t xml:space="preserve">ASSUMPTION: Indian equity risk premium (INR basis, Rf already embeds sovereign spread). Typical practitioner range 5.0–6.5%.</t>
  </si>
  <si>
    <t xml:space="preserve">Beta</t>
  </si>
  <si>
    <t xml:space="preserve">ASSUMPTION: no regression run. High-volatility consumer-internet stock; TO VERIFY against Bloomberg / NSE 2-yr weekly beta vs Nifty.</t>
  </si>
  <si>
    <t xml:space="preserve">Cost of Equity</t>
  </si>
  <si>
    <t xml:space="preserve">CAPM: Rf + Beta × ERP.</t>
  </si>
  <si>
    <t xml:space="preserve">Pre-Tax Cost of Debt</t>
  </si>
  <si>
    <t xml:space="preserve">ASSUMPTION: Eternal has no financial debt (Mar-2026 balance sheet); only lease liabilities. Cost of debt only matters if debt weight &gt; 0.</t>
  </si>
  <si>
    <t xml:space="preserve">Tax Rate</t>
  </si>
  <si>
    <t xml:space="preserve">Indian corporate tax rate, new regime (22% + surcharge + cess = 25.17%).</t>
  </si>
  <si>
    <t xml:space="preserve">WACC. With zero debt weight, WACC = cost of equity.</t>
  </si>
  <si>
    <t xml:space="preserve">Target Debt / (Debt + Equity)</t>
  </si>
  <si>
    <t xml:space="preserve">ASSUMPTION: zero. Leases are treated as operating cost (rent is deducted inside Adjusted EBITDA), so lease liabilities are NOT added to debt.</t>
  </si>
  <si>
    <t xml:space="preserve">TERMINAL VALUE</t>
  </si>
  <si>
    <t xml:space="preserve">Terminal Growth Rate</t>
  </si>
  <si>
    <t xml:space="preserve">ASSUMPTION: long-run nominal INR growth for a mature consumer platform; below FY36E segment growth and below India nominal GDP.</t>
  </si>
  <si>
    <t xml:space="preserve">MARKET DATA &amp; EQUITY BRIDGE</t>
  </si>
  <si>
    <t xml:space="preserve">Current share price (₹)</t>
  </si>
  <si>
    <t xml:space="preserve">REPORTED (secondary): ₹316.80 on NSE, 17-Sep-2026, Anand Rathi share-price page. REFRESH to latest close before publishing.</t>
  </si>
  <si>
    <t xml:space="preserve">Shares outstanding — listed, incl. ESOP-trust pool (crore)</t>
  </si>
  <si>
    <t xml:space="preserve">DERIVED: ₹919 cr paid-up capital at ₹1 face value (Mar-2026 balance sheet) + 47.75 cr shares allotted to Foodie Bay ESOP Trust (FY25 note 5). Vendor market caps imply ~961–965 cr. Using the higher count = conservative (full dilution).</t>
  </si>
  <si>
    <t xml:space="preserve">Market capitalisation (₹ crore)</t>
  </si>
  <si>
    <t xml:space="preserve">Calculated.</t>
  </si>
  <si>
    <t xml:space="preserve">Cash &amp; treasury investments (₹ crore)</t>
  </si>
  <si>
    <t xml:space="preserve">REPORTED: company cash balance incl. treasury bonds/government securities, 30-Jun-2026 (Q1 FY27 shareholder letter, via press). Q4 FY26: 17,972.</t>
  </si>
  <si>
    <t xml:space="preserve">Financial debt (₹ crore)</t>
  </si>
  <si>
    <t xml:space="preserve">REPORTED: no borrowings on Mar-2026 consolidated balance sheet.</t>
  </si>
  <si>
    <t xml:space="preserve">Contingent GST demands on delivery charges (₹ crore)</t>
  </si>
  <si>
    <t xml:space="preserve">REPORTED: orders/SCNs 420+8+13+6 (Note 6, Q4 FY26 results). Management contests; deducted in full as a conservative haircut.</t>
  </si>
  <si>
    <t xml:space="preserve">Valuation date (balance-sheet date of cash)</t>
  </si>
  <si>
    <t xml:space="preserve">Cash is as at 30-Jun-2026, so DCF is struck at that date and only 9 months of FY27E cash flow is counted.</t>
  </si>
  <si>
    <t xml:space="preserve">FY27 year-end</t>
  </si>
  <si>
    <t xml:space="preserve">FY27E stub fraction (share of FY27E cash flow still to come)</t>
  </si>
  <si>
    <t xml:space="preserve">USD / INR (for cross-checks only)</t>
  </si>
  <si>
    <t xml:space="preserve">DERIVED from HSIE report (market cap ₹2,442 bn = US$25,818 mn, Apr-2026). Used only to compare with management USD guidance.</t>
  </si>
  <si>
    <t xml:space="preserve">SCENARIO SELECTOR</t>
  </si>
  <si>
    <t xml:space="preserve">Active scenario (1 = Bear, 2 = Base, 3 = Bull)</t>
  </si>
  <si>
    <t xml:space="preserve">Change this cell and every sheet re-computes. Scenario tables on the Valuation sheet marked STATIC were produced by running all three settings.</t>
  </si>
  <si>
    <t xml:space="preserve">Active scenario name</t>
  </si>
  <si>
    <t xml:space="preserve">OPERATING DRIVERS</t>
  </si>
  <si>
    <t xml:space="preserve">Live</t>
  </si>
  <si>
    <t xml:space="preserve">Bear</t>
  </si>
  <si>
    <t xml:space="preserve">Base</t>
  </si>
  <si>
    <t xml:space="preserve">Bull</t>
  </si>
  <si>
    <t xml:space="preserve">Basis / source</t>
  </si>
  <si>
    <t xml:space="preserve">Food delivery (Zomato)</t>
  </si>
  <si>
    <t xml:space="preserve">NOV growth FY27E</t>
  </si>
  <si>
    <t xml:space="preserve">Q1 FY27 actual +20.1% YoY; management expects 20%+ trend (Q4 FY26 letter, Q7). Bear = competition (Swiggy Toing / Rapido Ownly) slows growth.</t>
  </si>
  <si>
    <t xml:space="preserve">NOV growth FY36E (linear fade from FY27E)</t>
  </si>
  <si>
    <t xml:space="preserve">ASSUMPTION: fade to India nominal consumption growth+. Growth_t = g0 + (gT−g0)×(t−1)/9.</t>
  </si>
  <si>
    <t xml:space="preserve">Adj. EBITDA margin target (% of NOV)</t>
  </si>
  <si>
    <t xml:space="preserve">FY26 actual 5.3%; Q1 FY27 5.6%; management guides 5–6% range (Q4 FY26 letter). Bull assumes ad/platform-fee mix lifts above range.</t>
  </si>
  <si>
    <t xml:space="preserve">Years to reach margin target</t>
  </si>
  <si>
    <t xml:space="preserve">ASSUMPTION: straight-line from FY26 actual.</t>
  </si>
  <si>
    <t xml:space="preserve">Take rate (adjusted revenue % of NOV)</t>
  </si>
  <si>
    <t xml:space="preserve">FY26 actual 30.8%, Q4 FY26 32.0%, Q1 FY27 32.8%. Held flat just above Q4 level.</t>
  </si>
  <si>
    <t xml:space="preserve">Quick commerce (Blinkit)</t>
  </si>
  <si>
    <t xml:space="preserve">Q1 FY27 +86% YoY. Management: NOV CAGR "north of 60%" for 3 yrs, &gt;4x in 3 yrs (Q4 FY26 letter, Q2). Base 70% fade gives ~63% FY26–29 CAGR.</t>
  </si>
  <si>
    <t xml:space="preserve">NOV growth FY36E (linear fade)</t>
  </si>
  <si>
    <t xml:space="preserve">ASSUMPTION.</t>
  </si>
  <si>
    <t xml:space="preserve">FY26 actual −0.6%; Q1 FY27 +0.6%; management steady-state target raised to 6% (Q1 FY27 call, via Business Standard); earlier 5–6%. Base haircuts to 5%.</t>
  </si>
  <si>
    <t xml:space="preserve">ASSUMPTION: Bear is slower because competitive intensity persists.</t>
  </si>
  <si>
    <t xml:space="preserve">Q4 FY26 92.0% after shift to inventory-led (1P) model; Q1 FY27 91.4%.</t>
  </si>
  <si>
    <t xml:space="preserve">Going-out (District)</t>
  </si>
  <si>
    <t xml:space="preserve">FY26 +42%; Q1 FY27 +60%. Guidance: $3bn NOV and $150mn EBITDA by FY30 (~30%+ growth).</t>
  </si>
  <si>
    <t xml:space="preserve">FY26 actual −3.4%; Q1 FY27 −2.0%. Guidance implies 5% ($150mn on $3bn). Base haircuts to 4%.</t>
  </si>
  <si>
    <t xml:space="preserve">FY26 actual 10.4%; Q1 FY27 9.9%.</t>
  </si>
  <si>
    <t xml:space="preserve">Hyperpure (B2B supplies)</t>
  </si>
  <si>
    <t xml:space="preserve">FY27E revenue (₹ crore)</t>
  </si>
  <si>
    <t xml:space="preserve">Revenue base reset: non-restaurant sales moved to Blinkit (1P) from Q2 FY26, so FY26 (5,366) is not comparable. Q4 FY26 978, Q1 FY27 1,034 (+27% LFL) → ~4,100–4,400 run-rate.</t>
  </si>
  <si>
    <t xml:space="preserve">Revenue growth FY28E</t>
  </si>
  <si>
    <t xml:space="preserve">ASSUMPTION: LFL growth 27–37% recently; fades.</t>
  </si>
  <si>
    <t xml:space="preserve">Revenue growth FY36E (linear fade)</t>
  </si>
  <si>
    <t xml:space="preserve">Adj. EBITDA margin FY27E (% of revenue)</t>
  </si>
  <si>
    <t xml:space="preserve">Q4 FY26 0.5%; Q1 FY27 0.6%.</t>
  </si>
  <si>
    <t xml:space="preserve">Adj. EBITDA margin target (% of revenue)</t>
  </si>
  <si>
    <t xml:space="preserve">ASSUMPTION: thin-margin distribution business.</t>
  </si>
  <si>
    <t xml:space="preserve">Others (Bistro / Nugget / new initiatives) and corporate drag</t>
  </si>
  <si>
    <t xml:space="preserve">Others Adj. EBITDA loss (% of B2C NOV)</t>
  </si>
  <si>
    <t xml:space="preserve">FY26 0.22%; Q1 FY27 0.30% (₹94 cr loss on ₹31,119 cr NOV). Management calls Bistro "an experiment, not a big bet".</t>
  </si>
  <si>
    <t xml:space="preserve">Others revenue (% of B2C NOV)</t>
  </si>
  <si>
    <t xml:space="preserve">Q1 FY27: ₹95 cr / ₹31,119 cr = 0.31%.</t>
  </si>
  <si>
    <t xml:space="preserve">Cost &amp; investment drivers (same in all scenarios)</t>
  </si>
  <si>
    <t xml:space="preserve">Share-based payment, FY27E (% of B2C NOV)</t>
  </si>
  <si>
    <t xml:space="preserve">FY26 actual 819 / 95,960 = 0.85%. SBC is deducted as a real cost (it is added back in company Adjusted EBITDA).</t>
  </si>
  <si>
    <t xml:space="preserve">Share-based payment, FY36E (% of B2C NOV)</t>
  </si>
  <si>
    <t xml:space="preserve">ASSUMPTION: operating leverage on ESOP cost.</t>
  </si>
  <si>
    <t xml:space="preserve">Capex, FY27E (% of B2C NOV)</t>
  </si>
  <si>
    <t xml:space="preserve">FY26 actual 1,751 / 95,960 = 1.8%. Management raised capex per Blinkit store target to ₹2.5 cr from ₹1 cr (Q1 FY27 call).</t>
  </si>
  <si>
    <t xml:space="preserve">Capex, FY36E (% of B2C NOV)</t>
  </si>
  <si>
    <t xml:space="preserve">ASSUMPTION: store roll-out matures.</t>
  </si>
  <si>
    <t xml:space="preserve">D&amp;A excl. ROU (proxy), FY27E (% of B2C NOV)</t>
  </si>
  <si>
    <t xml:space="preserve">FY26: D&amp;A 1,597 − lease principal 471 = 1,126 → 1.17% of NOV (proxy; ROU depreciation not separately extracted).</t>
  </si>
  <si>
    <t xml:space="preserve">D&amp;A excl. ROU, FY36E (% of B2C NOV)</t>
  </si>
  <si>
    <t xml:space="preserve">ASSUMPTION: converges toward capex but stays below while growing.</t>
  </si>
  <si>
    <t xml:space="preserve">Working-capital investment (% of incremental B2C NOV)</t>
  </si>
  <si>
    <t xml:space="preserve">FY26 actual was 3.6% (see Operating Model calibration) but inflated by 1P transition and seller settlements. ASSUMPTION: 1.0%.</t>
  </si>
  <si>
    <t xml:space="preserve">SOTP MULTIPLES (applied to FY28E metrics, valued at Mar-2028, then discounted)</t>
  </si>
  <si>
    <t xml:space="preserve">Food delivery: EV / Adj. EBITDA (x)</t>
  </si>
  <si>
    <t xml:space="preserve">ASSUMPTION. Context only (secondary): HSIE Q4 FY26 review uses 45x Mar-28 EBITDA. Haircut because food-delivery growth is ~19% and margin is capped at 5–6% of NOV.</t>
  </si>
  <si>
    <t xml:space="preserve">Blinkit: steady-state EV / EBITDA applied to target margin (x)</t>
  </si>
  <si>
    <t xml:space="preserve">ASSUMPTION: EV/NOV = margin target × this multiple (base 5.0% × 25x = 1.25x NOV). Context only: HSIE uses 1.5x Mar-28 NOV.</t>
  </si>
  <si>
    <t xml:space="preserve">District: steady-state EV / EBITDA applied to target margin (x)</t>
  </si>
  <si>
    <t xml:space="preserve">ASSUMPTION: EV/NOV = margin target × this multiple (base 4% × 20x = 0.8x NOV). Context only: HSIE uses 1.0x GOV.</t>
  </si>
  <si>
    <t xml:space="preserve">Hyperpure: EV / revenue (x)</t>
  </si>
  <si>
    <t xml:space="preserve">ASSUMPTION. Context only: HSIE uses 0.5x sales.</t>
  </si>
  <si>
    <t xml:space="preserve">Others: capitalisation multiple on EBITDA loss (x)</t>
  </si>
  <si>
    <t xml:space="preserve">ASSUMPTION: negative value = capitalised cost of experiments / corporate drag.</t>
  </si>
  <si>
    <t xml:space="preserve">ETERNAL LTD. — HISTORICAL INCOME STATEMENT (₹ crore, consolidated)</t>
  </si>
  <si>
    <t xml:space="preserve">Blue = hardcoded Reported input | Black = formula (Calculated) | Yellow = still to pull from filings</t>
  </si>
  <si>
    <t xml:space="preserve">Fiscal Year</t>
  </si>
  <si>
    <t xml:space="preserve">FY21</t>
  </si>
  <si>
    <t xml:space="preserve">FY22</t>
  </si>
  <si>
    <t xml:space="preserve">FY23</t>
  </si>
  <si>
    <t xml:space="preserve">FY24</t>
  </si>
  <si>
    <t xml:space="preserve">FY25</t>
  </si>
  <si>
    <t xml:space="preserve">FY26</t>
  </si>
  <si>
    <t xml:space="preserve">Source / Status</t>
  </si>
  <si>
    <t xml:space="preserve">Revenue only. SECONDARY (Screener.in consolidated). Verify vs AR FY22 comparative column.</t>
  </si>
  <si>
    <t xml:space="preserve">Revenue only. Business Standard / Inc42 report 4,192.4 (matches Screener). Line items TO PULL from AR FY22 (BSE).</t>
  </si>
  <si>
    <t xml:space="preserve">Reported — Zomato AR FY24, Consolidated Statement of P&amp;L, comparative column (FY23). Read via Scribd copy of the AR; confirm vs official PDF.</t>
  </si>
  <si>
    <t xml:space="preserve">Reported — Zomato AR FY24, Consolidated Statement of P&amp;L (FY24). Delivery charges: AR FY24 MD&amp;A (3,915). Read via Scribd copy of the AR.</t>
  </si>
  <si>
    <t xml:space="preserve">Reported — Eternal Q4FY26 results filing (28-Apr-2026), consolidated P&amp;L, comparative column (FY25, audited).</t>
  </si>
  <si>
    <t xml:space="preserve">Reported — Eternal Q4FY26 results filing (28-Apr-2026), consolidated P&amp;L (FY26, audited). Deloitte unmodified opinion.</t>
  </si>
  <si>
    <t xml:space="preserve">Revenue from operations</t>
  </si>
  <si>
    <t xml:space="preserve">Other income</t>
  </si>
  <si>
    <t xml:space="preserve">Total income</t>
  </si>
  <si>
    <t xml:space="preserve">Cost of materials consumed</t>
  </si>
  <si>
    <t xml:space="preserve">Purchases of stock-in-trade</t>
  </si>
  <si>
    <t xml:space="preserve">Changes in inventories</t>
  </si>
  <si>
    <t xml:space="preserve">Employee benefit expense</t>
  </si>
  <si>
    <t xml:space="preserve">Other expenses (total; see memo rows 28-30)</t>
  </si>
  <si>
    <t xml:space="preserve">Total operating expenses (before D&amp;A, finance cost)</t>
  </si>
  <si>
    <t xml:space="preserve">EBITDA (excl. other income)</t>
  </si>
  <si>
    <t xml:space="preserve">Depreciation and amortisation</t>
  </si>
  <si>
    <t xml:space="preserve">Finance costs</t>
  </si>
  <si>
    <t xml:space="preserve">Profit before tax</t>
  </si>
  <si>
    <t xml:space="preserve">Tax expense / (credit)</t>
  </si>
  <si>
    <t xml:space="preserve">Profit after tax</t>
  </si>
  <si>
    <t xml:space="preserve">EBITDA margin</t>
  </si>
  <si>
    <t xml:space="preserve">Revenue growth (YoY)</t>
  </si>
  <si>
    <t xml:space="preserve">MEMO — OTHER EXPENSES BREAKDOWN (as disclosed)</t>
  </si>
  <si>
    <t xml:space="preserve">  Advertisement and sales promotion</t>
  </si>
  <si>
    <t xml:space="preserve">  Delivery and related charges</t>
  </si>
  <si>
    <t xml:space="preserve">  Others</t>
  </si>
  <si>
    <t xml:space="preserve">TIE-OUT TO REPORTED FIGURES</t>
  </si>
  <si>
    <t xml:space="preserve">Reported profit before tax</t>
  </si>
  <si>
    <t xml:space="preserve">  Difference (calculated − reported)</t>
  </si>
  <si>
    <t xml:space="preserve">Reported profit after tax</t>
  </si>
  <si>
    <t xml:space="preserve">NOTES</t>
  </si>
  <si>
    <t xml:space="preserve">1. Blinkit (Grofers) was consolidated from Aug-2022 (about 8 months in FY23, full year from FY24). FY23 vs FY22 is NOT like-for-like.</t>
  </si>
  <si>
    <t xml:space="preserve">2. Paytm entertainment ticketing (now part of District) consolidated from 27-Aug-2024. FY25 and FY26 are not like-for-like with FY24.</t>
  </si>
  <si>
    <t xml:space="preserve">3. From Q1 FY26 Blinkit moved from marketplace to inventory-led (1P). Revenue now includes full goods value, so FY26 revenue (+168.6%) is inflated; purchases of stock-in-trade jump to 32,115. Company reports like-for-like Adjusted Revenue growth of ~64-65% YoY in Q2-Q4 FY26. Use LFL/NOV in forecasts, not headline growth.</t>
  </si>
  <si>
    <t xml:space="preserve">4. EBITDA here = revenue − operating expenses, excluding other income, D&amp;A and finance cost. It INCLUDES ESOP expense and Ind AS 116 lease effects. Company "Adjusted EBITDA" adds back ESOP expense and deducts lease rentals, so the two will differ. Do not mix them.</t>
  </si>
  <si>
    <t xml:space="preserve">5. FY23 and FY24 tax is backed out as PBT − reported PAT (tax line not separately read), so the PAT tie-out is zero by construction for those two years. FY25/FY26 tax is reported (current + deferred), so their tie-out is a genuine check.</t>
  </si>
  <si>
    <t xml:space="preserve">6. FY25/FY26 "Other expenses" = sum of the three disclosed lines (memo rows). FY23/FY24 are the single reported total. FY24 delivery charges (3,915) is from AR FY24 MD&amp;A; ad and others split not yet pulled.</t>
  </si>
  <si>
    <t xml:space="preserve">7. Cost of materials consumed: first appears in Q3 FY26 (Blinkit Foods / Bistro). Nil in prior years.</t>
  </si>
  <si>
    <t xml:space="preserve">8. TO DO: FY21 and FY22 line items (yellow). Pull from AR FY22 comparative columns on BSE (scrip 543320). Secondary sources disagree on FY22 total expenses (5,908 vs 6,205), so do not fill from aggregators.</t>
  </si>
  <si>
    <t xml:space="preserve">ETERNAL LTD. — OPERATING MODEL (₹ crore unless stated)</t>
  </si>
  <si>
    <t xml:space="preserve">Quarterly FY24Q4–FY26Q4: SECONDARY — HDFC Securities (HSIE) Q4FY26 results review, INR mn ÷ 10, compiled from company shareholder letters. Q1 FY27: company shareholder letter as reported in press (Business Standard, X/@NSuresh_ECW, Inc42). VERIFY against official PDFs before publishing.</t>
  </si>
  <si>
    <t xml:space="preserve">FY25A / FY26A = sum of four quarters. All segment figures use the company's Adjusted EBITDA definition: EBITDA + share-based payment − Ind AS 116 lease rentals.</t>
  </si>
  <si>
    <t xml:space="preserve">Metric</t>
  </si>
  <si>
    <t xml:space="preserve">Q4 FY24</t>
  </si>
  <si>
    <t xml:space="preserve">Q1 FY25</t>
  </si>
  <si>
    <t xml:space="preserve">Q2 FY25</t>
  </si>
  <si>
    <t xml:space="preserve">Q3 FY25</t>
  </si>
  <si>
    <t xml:space="preserve">Q4 FY25</t>
  </si>
  <si>
    <t xml:space="preserve">Q1 FY26</t>
  </si>
  <si>
    <t xml:space="preserve">Q2 FY26</t>
  </si>
  <si>
    <t xml:space="preserve">Q3 FY26</t>
  </si>
  <si>
    <t xml:space="preserve">Q4 FY26</t>
  </si>
  <si>
    <t xml:space="preserve">Q1 FY27</t>
  </si>
  <si>
    <t xml:space="preserve">FY25A</t>
  </si>
  <si>
    <t xml:space="preserve">FY26A</t>
  </si>
  <si>
    <t xml:space="preserve">Source / status</t>
  </si>
  <si>
    <t xml:space="preserve">NET ORDER VALUE (NOV), ₹ crore</t>
  </si>
  <si>
    <t xml:space="preserve">  Food delivery</t>
  </si>
  <si>
    <t xml:space="preserve">HSIE table "NoV (B2C business)"; Q1 FY27 from company letter (press).</t>
  </si>
  <si>
    <t xml:space="preserve">  Quick commerce (Blinkit)</t>
  </si>
  <si>
    <t xml:space="preserve">  Going-out (District)</t>
  </si>
  <si>
    <t xml:space="preserve">Total B2C NOV</t>
  </si>
  <si>
    <t xml:space="preserve">ADJUSTED REVENUE, ₹ crore</t>
  </si>
  <si>
    <t xml:space="preserve">  Hyperpure (B2B supplies)</t>
  </si>
  <si>
    <t xml:space="preserve">FY25 5,206 and FY26 37,779 tie exactly to statutory quick-commerce segment revenue (Q4 FY26 filing).</t>
  </si>
  <si>
    <t xml:space="preserve">Total adjusted revenue</t>
  </si>
  <si>
    <t xml:space="preserve">ADJUSTED EBITDA, ₹ crore</t>
  </si>
  <si>
    <t xml:space="preserve">Total Adjusted EBITDA (sum of segments)</t>
  </si>
  <si>
    <t xml:space="preserve">Company-reported consolidated Adj. EBITDA (check)</t>
  </si>
  <si>
    <t xml:space="preserve">HSIE "Total Adjusted EBITDA"; FY26 11,890 mn = ₹1,189 cr. Q1 FY27 ₹555 cr per company.</t>
  </si>
  <si>
    <t xml:space="preserve">Difference (sum of segments − reported)</t>
  </si>
  <si>
    <t xml:space="preserve">MARGINS &amp; TAKE RATES (calculated)</t>
  </si>
  <si>
    <t xml:space="preserve">  Food delivery Adj. EBITDA % of NOV</t>
  </si>
  <si>
    <t xml:space="preserve">  Blinkit Adj. EBITDA % of NOV</t>
  </si>
  <si>
    <t xml:space="preserve">  District Adj. EBITDA % of NOV</t>
  </si>
  <si>
    <t xml:space="preserve">  Food delivery take rate (adj. revenue % NOV)</t>
  </si>
  <si>
    <t xml:space="preserve">  Blinkit take rate (adj. revenue % NOV)</t>
  </si>
  <si>
    <t xml:space="preserve">Jumps from ~23% to ~92% in Q2 FY26 because Blinkit moved to inventory-led (1P) model — revenue now includes goods sold.</t>
  </si>
  <si>
    <t xml:space="preserve">  District take rate (adj. revenue % NOV)</t>
  </si>
  <si>
    <t xml:space="preserve">OPERATING KPIs (as disclosed; blank = not found in sources)</t>
  </si>
  <si>
    <t xml:space="preserve">  Food delivery avg monthly transacting customers (mn)</t>
  </si>
  <si>
    <t xml:space="preserve">HSIE KPI table + company letters. Q2 FY26 and Q3 FY25 not found.</t>
  </si>
  <si>
    <t xml:space="preserve">  Blinkit avg monthly transacting customers (mn)</t>
  </si>
  <si>
    <t xml:space="preserve">  Blinkit orders (mn)</t>
  </si>
  <si>
    <t xml:space="preserve">  Blinkit net AOV (₹)</t>
  </si>
  <si>
    <t xml:space="preserve">  Blinkit stores (period end)</t>
  </si>
  <si>
    <t xml:space="preserve">Mgmt target 3,000 dark stores by Mar-2027 (HSIE). Q1 FY26 1,544 per press.</t>
  </si>
  <si>
    <t xml:space="preserve">  Food delivery contribution profit (₹ cr)</t>
  </si>
  <si>
    <t xml:space="preserve">HSIE KPI table (INR mn ÷ 10). Contribution = revenue − order-level variable costs (company definition).</t>
  </si>
  <si>
    <t xml:space="preserve">  Blinkit contribution profit (₹ cr)</t>
  </si>
  <si>
    <t xml:space="preserve">  Food delivery contribution margin (% NOV)</t>
  </si>
  <si>
    <t xml:space="preserve">  Blinkit contribution margin (% NOV)</t>
  </si>
  <si>
    <t xml:space="preserve">RECONCILIATION — reported EBITDA → Adjusted EBITDA, and cash-flow calibration</t>
  </si>
  <si>
    <t xml:space="preserve">EBITDA excl. other income (Historical sheet)</t>
  </si>
  <si>
    <t xml:space="preserve">Add: share-based payment expense</t>
  </si>
  <si>
    <t xml:space="preserve">REPORTED: segment note, Q4 FY26 consolidated results (Note 3 reconciliation).</t>
  </si>
  <si>
    <t xml:space="preserve">EBITDA before SBC (= total segment results)</t>
  </si>
  <si>
    <t xml:space="preserve">Reported total segment results (tie-out)</t>
  </si>
  <si>
    <t xml:space="preserve">REPORTED: segment results total, Q4 FY26 filing. Difference row below should be zero.</t>
  </si>
  <si>
    <t xml:space="preserve">  Difference</t>
  </si>
  <si>
    <t xml:space="preserve">Less: Ind AS 116 lease rentals (derived plug)</t>
  </si>
  <si>
    <t xml:space="preserve">DERIVED. FY26 plug equals cash lease payments exactly (838), confirming the bridge. FY25 differs by 49 (definition/timing) — flagged, not forced.</t>
  </si>
  <si>
    <t xml:space="preserve">Adjusted EBITDA (sum of segments)</t>
  </si>
  <si>
    <t xml:space="preserve">Memo: lease principal paid (cash flow statement)</t>
  </si>
  <si>
    <t xml:space="preserve">REPORTED: consolidated cash flow statement, Q4 FY26 filing (FY25 comparative).</t>
  </si>
  <si>
    <t xml:space="preserve">Memo: lease interest paid (cash flow statement)</t>
  </si>
  <si>
    <t xml:space="preserve">Memo: total cash lease payments</t>
  </si>
  <si>
    <t xml:space="preserve">  Plug minus cash lease payments</t>
  </si>
  <si>
    <t xml:space="preserve">Cash-flow calibration (consolidated, reported)</t>
  </si>
  <si>
    <t xml:space="preserve">Net cash from operating activities</t>
  </si>
  <si>
    <t xml:space="preserve">Capex (PPE &amp; intangibles incl. CWIP/advances)</t>
  </si>
  <si>
    <t xml:space="preserve">Total D&amp;A (Historical sheet)</t>
  </si>
  <si>
    <t xml:space="preserve">D&amp;A excl. ROU (proxy = total D&amp;A − lease principal paid)</t>
  </si>
  <si>
    <t xml:space="preserve">Working-capital movement (sum of CF lines)</t>
  </si>
  <si>
    <t xml:space="preserve">REPORTED lines summed: receivables, other fin. assets, other assets, inventories, other liabilities, provisions, payables.</t>
  </si>
  <si>
    <t xml:space="preserve">B2C NOV (from table above)</t>
  </si>
  <si>
    <t xml:space="preserve">  SBC % of B2C NOV</t>
  </si>
  <si>
    <t xml:space="preserve">  Capex % of B2C NOV</t>
  </si>
  <si>
    <t xml:space="preserve">  D&amp;A excl. ROU % of B2C NOV</t>
  </si>
  <si>
    <t xml:space="preserve">  Working-capital outflow % of incremental B2C NOV</t>
  </si>
  <si>
    <t xml:space="preserve">FY26 outflow was elevated by the 1P transition (inventory build, seller settlements). Model assumes 1.0% — a judgement call; sensitivity is small relative to EV.</t>
  </si>
  <si>
    <t xml:space="preserve">Fiscal year</t>
  </si>
  <si>
    <t xml:space="preserve">FY27E</t>
  </si>
  <si>
    <t xml:space="preserve">FY28E</t>
  </si>
  <si>
    <t xml:space="preserve">FY29E</t>
  </si>
  <si>
    <t xml:space="preserve">FY30E</t>
  </si>
  <si>
    <t xml:space="preserve">FY31E</t>
  </si>
  <si>
    <t xml:space="preserve">FY32E</t>
  </si>
  <si>
    <t xml:space="preserve">FY33E</t>
  </si>
  <si>
    <t xml:space="preserve">FY34E</t>
  </si>
  <si>
    <t xml:space="preserve">FY35E</t>
  </si>
  <si>
    <t xml:space="preserve">FY36E</t>
  </si>
  <si>
    <t xml:space="preserve">Forecast year index (t)</t>
  </si>
  <si>
    <t xml:space="preserve">FOOD DELIVERY (Zomato)</t>
  </si>
  <si>
    <t xml:space="preserve">  NOV</t>
  </si>
  <si>
    <t xml:space="preserve">  NOV growth (YoY)</t>
  </si>
  <si>
    <t xml:space="preserve">  Adj. EBITDA margin (% of NOV)</t>
  </si>
  <si>
    <t xml:space="preserve">  Adj. EBITDA</t>
  </si>
  <si>
    <t xml:space="preserve">  Adjusted revenue</t>
  </si>
  <si>
    <t xml:space="preserve">QUICK COMMERCE (Blinkit)</t>
  </si>
  <si>
    <t xml:space="preserve">GOING-OUT (District)</t>
  </si>
  <si>
    <t xml:space="preserve">HYPERPURE (B2B supplies)</t>
  </si>
  <si>
    <t xml:space="preserve">  Revenue</t>
  </si>
  <si>
    <t xml:space="preserve">  Revenue growth (YoY)</t>
  </si>
  <si>
    <t xml:space="preserve">FY27E growth is negative only because FY26 included non-restaurant sales later moved to Blinkit (1P). Not like-for-like.</t>
  </si>
  <si>
    <t xml:space="preserve">  Adj. EBITDA margin (% of revenue)</t>
  </si>
  <si>
    <t xml:space="preserve">CONSOLIDATED</t>
  </si>
  <si>
    <t xml:space="preserve">  Total B2C NOV</t>
  </si>
  <si>
    <t xml:space="preserve">  B2C NOV growth</t>
  </si>
  <si>
    <t xml:space="preserve">  Adjusted revenue growth</t>
  </si>
  <si>
    <t xml:space="preserve">  Adjusted EBITDA</t>
  </si>
  <si>
    <t xml:space="preserve">Check vs management: "$1 bn Adj. EBITDA hopefully by FY29" (Q4 FY26 letter). See US$ row, FY29E column.</t>
  </si>
  <si>
    <t xml:space="preserve">  Adj. EBITDA margin (% of B2C NOV)</t>
  </si>
  <si>
    <t xml:space="preserve">  Adj. EBITDA margin (% of adjusted revenue)</t>
  </si>
  <si>
    <t xml:space="preserve">  Adj. EBITDA (US$ mn, cross-check)</t>
  </si>
  <si>
    <t xml:space="preserve">  B2C NOV (US$ bn, cross-check)</t>
  </si>
  <si>
    <t xml:space="preserve">Management: double B2C NOV from $10bn to $20bn in &lt;2 years, i.e. by FY28.</t>
  </si>
  <si>
    <t xml:space="preserve">  Others: Adj. EBITDA (loss; forecast = % of B2C NOV × NOV)</t>
  </si>
  <si>
    <t xml:space="preserve">  Others: revenue (forecast = % of B2C NOV × NOV)</t>
  </si>
  <si>
    <t xml:space="preserve">Check: FY26A adjusted revenue ties to quarterly table (difference)</t>
  </si>
  <si>
    <t xml:space="preserve">Check: FY26A Adjusted EBITDA ties to quarterly table (difference)</t>
  </si>
  <si>
    <t xml:space="preserve">ETERNAL LTD. — VALUATION (₹ crore unless stated)</t>
  </si>
  <si>
    <t xml:space="preserve">Basis: pre-Ind AS 116 (lease rent is inside Adjusted EBITDA; lease liabilities excluded from debt). SBC deducted as a real cost. Cash flows exclude treasury income (cash is added in the equity bridge).</t>
  </si>
  <si>
    <t xml:space="preserve">DISCOUNTED CASH FLOW</t>
  </si>
  <si>
    <t xml:space="preserve">B2C NOV</t>
  </si>
  <si>
    <t xml:space="preserve">Adjusted revenue</t>
  </si>
  <si>
    <t xml:space="preserve">Adjusted EBITDA (pre-SBC, post lease rent)</t>
  </si>
  <si>
    <t xml:space="preserve">  SBC (% of B2C NOV)</t>
  </si>
  <si>
    <t xml:space="preserve">Less: share-based payment</t>
  </si>
  <si>
    <t xml:space="preserve">EBITDA after SBC</t>
  </si>
  <si>
    <t xml:space="preserve">  D&amp;A excl. ROU (% of B2C NOV)</t>
  </si>
  <si>
    <t xml:space="preserve">Less: D&amp;A</t>
  </si>
  <si>
    <t xml:space="preserve">EBIT</t>
  </si>
  <si>
    <t xml:space="preserve">  EBIT margin (% of adjusted revenue)</t>
  </si>
  <si>
    <t xml:space="preserve">  Tax rate on EBIT</t>
  </si>
  <si>
    <t xml:space="preserve">Less: tax on EBIT (nil if EBIT &lt; 0)</t>
  </si>
  <si>
    <t xml:space="preserve">NOPAT</t>
  </si>
  <si>
    <t xml:space="preserve">Add: D&amp;A</t>
  </si>
  <si>
    <t xml:space="preserve">  Capex (% of B2C NOV)</t>
  </si>
  <si>
    <t xml:space="preserve">Less: capex</t>
  </si>
  <si>
    <t xml:space="preserve">  Increase in B2C NOV</t>
  </si>
  <si>
    <t xml:space="preserve">Less: working-capital investment</t>
  </si>
  <si>
    <t xml:space="preserve">Unlevered free cash flow (UFCF)</t>
  </si>
  <si>
    <t xml:space="preserve">Share of year included (FY27E = stub)</t>
  </si>
  <si>
    <t xml:space="preserve">Discount period (years, mid-year)</t>
  </si>
  <si>
    <t xml:space="preserve">Discount factor</t>
  </si>
  <si>
    <t xml:space="preserve">PV of UFCF</t>
  </si>
  <si>
    <t xml:space="preserve">DCF VALUATION SUMMARY</t>
  </si>
  <si>
    <t xml:space="preserve">Sum of PV of UFCF (FY27E stub – FY36E)</t>
  </si>
  <si>
    <t xml:space="preserve">Terminal-year UFCF (FY36E)</t>
  </si>
  <si>
    <t xml:space="preserve">Terminal value at FY36E (Gordon growth)</t>
  </si>
  <si>
    <t xml:space="preserve">PV of terminal value</t>
  </si>
  <si>
    <t xml:space="preserve">TV discounted with the FY36E mid-year factor (consistent with Gordon growth on mid-year flows).</t>
  </si>
  <si>
    <t xml:space="preserve">Enterprise value</t>
  </si>
  <si>
    <t xml:space="preserve">Add: cash &amp; treasury investments</t>
  </si>
  <si>
    <t xml:space="preserve">Less: financial debt</t>
  </si>
  <si>
    <t xml:space="preserve">Less: contingent GST demands</t>
  </si>
  <si>
    <t xml:space="preserve">Equity value</t>
  </si>
  <si>
    <t xml:space="preserve">Shares outstanding (crore)</t>
  </si>
  <si>
    <t xml:space="preserve">Upside / (downside) to current price</t>
  </si>
  <si>
    <t xml:space="preserve">Terminal value as % of EV</t>
  </si>
  <si>
    <t xml:space="preserve">Implied terminal EV / FY36E Adj. EBITDA (x)</t>
  </si>
  <si>
    <t xml:space="preserve">Implied EV / FY28E Adj. EBITDA (x)</t>
  </si>
  <si>
    <t xml:space="preserve">Implied EV / FY27E B2C NOV (x)</t>
  </si>
  <si>
    <t xml:space="preserve">Terminal-year capex / D&amp;A (x)</t>
  </si>
  <si>
    <t xml:space="preserve">Above 1.0x is expected while the terminal year still grows ~5–6%.</t>
  </si>
  <si>
    <t xml:space="preserve">SENSITIVITY 1 — DCF value per share (₹): WACC (down) vs terminal growth (across). LIVE formulas.</t>
  </si>
  <si>
    <t xml:space="preserve">WACC \ Terminal growth</t>
  </si>
  <si>
    <t xml:space="preserve">Centre cell equals the DCF value per share in B43 (check below).</t>
  </si>
  <si>
    <t xml:space="preserve">Check: centre of grid − DCF value per share (should be 0)</t>
  </si>
  <si>
    <t xml:space="preserve">SUM-OF-THE-PARTS (FY28E metrics, valued at Mar-2028, discounted to valuation date)</t>
  </si>
  <si>
    <t xml:space="preserve">FY28E value</t>
  </si>
  <si>
    <t xml:space="preserve">Multiple (x)</t>
  </si>
  <si>
    <t xml:space="preserve">EV at Mar-28</t>
  </si>
  <si>
    <t xml:space="preserve">PV factor</t>
  </si>
  <si>
    <t xml:space="preserve">PV of EV (today)</t>
  </si>
  <si>
    <t xml:space="preserve">Per share (₹)</t>
  </si>
  <si>
    <t xml:space="preserve">% of EV</t>
  </si>
  <si>
    <t xml:space="preserve">Food delivery</t>
  </si>
  <si>
    <t xml:space="preserve">EV / Adj. EBITDA</t>
  </si>
  <si>
    <t xml:space="preserve">Blinkit (quick commerce)</t>
  </si>
  <si>
    <t xml:space="preserve">EV / NOV</t>
  </si>
  <si>
    <t xml:space="preserve">District (going-out)</t>
  </si>
  <si>
    <t xml:space="preserve">Hyperpure (B2B)</t>
  </si>
  <si>
    <t xml:space="preserve">EV / revenue</t>
  </si>
  <si>
    <t xml:space="preserve">Others / corporate drag</t>
  </si>
  <si>
    <t xml:space="preserve">EV / Adj. EBITDA (loss)</t>
  </si>
  <si>
    <t xml:space="preserve">Consolidated enterprise value</t>
  </si>
  <si>
    <t xml:space="preserve">Implied consolidated EV (Mar-28) / FY28E Adj. EBITDA (x)</t>
  </si>
  <si>
    <t xml:space="preserve">Blended value per share: 50% DCF + 50% SOTP (₹)</t>
  </si>
  <si>
    <t xml:space="preserve">Market-implied EV today (market cap − cash + debt + contingent)</t>
  </si>
  <si>
    <t xml:space="preserve">SCENARIO SUMMARY — STATIC (values pasted from running selector = 1, 2, 3; re-run to refresh)</t>
  </si>
  <si>
    <t xml:space="preserve">Blended vs current price</t>
  </si>
  <si>
    <t xml:space="preserve">FY29E Adj. EBITDA (₹ crore)</t>
  </si>
  <si>
    <t xml:space="preserve">FY29E Adj. EBITDA (US$ mn)</t>
  </si>
  <si>
    <t xml:space="preserve">FY28E B2C NOV (US$ bn)</t>
  </si>
  <si>
    <t xml:space="preserve">FY36E B2C NOV (₹ crore)</t>
  </si>
  <si>
    <t xml:space="preserve">Terminal value % of EV</t>
  </si>
  <si>
    <t xml:space="preserve">SENSITIVITY 2 — STATIC: Base-case DCF value per share (₹): Blinkit margin target (down) vs Blinkit FY27E NOV growth (across)</t>
  </si>
  <si>
    <t xml:space="preserve">Blinkit margin \ Blinkit FY27E growth</t>
  </si>
  <si>
    <t xml:space="preserve">SENSITIVITY 3 — STATIC: Base-case DCF value per share (₹): Food-delivery margin target (down) vs District margin target (across)</t>
  </si>
  <si>
    <t xml:space="preserve">FD margin \ District margin</t>
  </si>
  <si>
    <t xml:space="preserve">INVESTMENT THESIS</t>
  </si>
  <si>
    <t xml:space="preserve">Verdict (as of Oct-2026, price ₹316.80): on these assumptions the stock already discounts close to the Bull case. Base blended value ≈ ₹223/share (DCF ₹187, SOTP ₹258) vs price ₹317; Bear ₹115; Bull ₹349. Static values — see scenario table above.</t>
  </si>
  <si>
    <t xml:space="preserve">Core question — does the ecosystem create economic value? Yes, but unevenly. Value today comes from food delivery (profitable, ~5.3% of NOV, ₹2,017 cr FY26 Adj. EBITDA) funding Blinkit, whose economics have only just turned positive (Q1 FY27 +0.6% of NOV).</t>
  </si>
  <si>
    <t xml:space="preserve">Evidence for real ecosystem value: shared delivery fleet and brand/advertising demand, a bigger Blinkit user base than food base (31.8 mn vs 27.2 mn), and per-user profit ahead of Swiggy (Mini-project 3). Evidence against: no disclosure of overlapping users, so cross-sell itself is unproven.</t>
  </si>
  <si>
    <t xml:space="preserve">BULL (₹349 blended): Blinkit reaches 6% of NOV in 4 yrs on 80% FY27 growth; food delivery 7% margin; District 6%. FY29E Adj. EBITDA ≈ US$1,698 mn vs management goal of US$1 bn. What must go right: competition fades, store capex of ₹2.5 cr per store earns its return.</t>
  </si>
  <si>
    <t xml:space="preserve">BASE (₹223 blended): roughly management guidance haircut — Blinkit 70% growth fading to 6%, 5% margin by FY31; food delivery 20% growth, 6% margin. FY29E Adj. EBITDA US$971 mn ≈ US$1 bn goal. Terminal value is 71% of DCF EV, so the answer is driven by what Blinkit looks like after FY31.</t>
  </si>
  <si>
    <t xml:space="preserve">BEAR (₹115 blended): quick-commerce price war persists — Blinkit growth 55% fading to 5%, margin only 3.5%; FY29E Adj. EBITDA US$438 mn. DCF is almost all terminal value (89%), showing how thin the margin of safety is if Blinkit never reaches 5%+.</t>
  </si>
  <si>
    <t xml:space="preserve">What moves the value most: Blinkit margin and growth (Sensitivity 2: ₹67 to ₹496 across the grid). Food-delivery and District margins barely matter (Sensitivity 3: ₹165 to ₹210). Monitor: Blinkit NOV per store per day, contribution margin (5.4% in Q4 FY26), inventory losses (1.8% of NOV), capex per store.</t>
  </si>
  <si>
    <t xml:space="preserve">Key risks: quick-commerce competition (Zepto, Instamart reached contribution break-even), regulation of gig/platform fees, GST on delivery charges (₹447 cr contested), and AI-agent disintermediation of the app front door.</t>
  </si>
  <si>
    <t xml:space="preserve">Limitations: beta/ERP are assumptions; Q1 FY27 and quarterly history are from secondary sources pending official PDF check; share count includes ESOP pool (conservative). Not investment advice.</t>
  </si>
  <si>
    <t xml:space="preserve">ETERNAL LTD. — MINI-PROJECTS</t>
  </si>
  <si>
    <t xml:space="preserve">Tags: R = Reported (company disclosure) | C = Calculated from reported figures | D = Derived estimate | A = Assumption (judgement; NOT disclosed) | N/D = not disclosed / not found. Blue = input, black = formula, green = link.</t>
  </si>
  <si>
    <t xml:space="preserve">MINI-PROJECT 1 — WHAT IS ONE ZOMATO CUSTOMER WORTH? (food-delivery customer LTV)</t>
  </si>
  <si>
    <t xml:space="preserve">Input</t>
  </si>
  <si>
    <t xml:space="preserve">Value</t>
  </si>
  <si>
    <t xml:space="preserve">Unit</t>
  </si>
  <si>
    <t xml:space="preserve">Tag</t>
  </si>
  <si>
    <t xml:space="preserve">Source / logic</t>
  </si>
  <si>
    <t xml:space="preserve">Food-delivery avg monthly transacting customers, Q4 FY26</t>
  </si>
  <si>
    <t xml:space="preserve">mn</t>
  </si>
  <si>
    <t xml:space="preserve">R</t>
  </si>
  <si>
    <t xml:space="preserve">Q4 FY26 shareholder letter via HSIE / press.</t>
  </si>
  <si>
    <t xml:space="preserve">Food-delivery avg monthly transacting customers, Q1 FY27</t>
  </si>
  <si>
    <t xml:space="preserve">Q1 FY27 results (press).</t>
  </si>
  <si>
    <t xml:space="preserve">FY25 food-delivery orders</t>
  </si>
  <si>
    <t xml:space="preserve">Annual Report FY25 (via MediaNama).</t>
  </si>
  <si>
    <t xml:space="preserve">FY25 average monthly transacting customers</t>
  </si>
  <si>
    <t xml:space="preserve">FY25 orders per customer per month</t>
  </si>
  <si>
    <t xml:space="preserve">x</t>
  </si>
  <si>
    <t xml:space="preserve">C</t>
  </si>
  <si>
    <t xml:space="preserve">Orders ÷ (MTU × 12).</t>
  </si>
  <si>
    <t xml:space="preserve">Forward orders per customer per month</t>
  </si>
  <si>
    <t xml:space="preserve">A</t>
  </si>
  <si>
    <t xml:space="preserve">Anchored to FY25 calc (3.45). Management: food-delivery frequency stable for several quarters (Q4 FY26 letter, Q7).</t>
  </si>
  <si>
    <t xml:space="preserve">FY25 food-delivery NOV</t>
  </si>
  <si>
    <t xml:space="preserve">₹ cr</t>
  </si>
  <si>
    <t xml:space="preserve">Operating Model quarterly sum.</t>
  </si>
  <si>
    <t xml:space="preserve">FY25 net AOV (NOV ÷ orders)</t>
  </si>
  <si>
    <t xml:space="preserve">₹</t>
  </si>
  <si>
    <t xml:space="preserve">NOV × 10 ÷ orders (₹ cr → ₹ mn).</t>
  </si>
  <si>
    <t xml:space="preserve">Forward net AOV</t>
  </si>
  <si>
    <t xml:space="preserve">Management is deliberately lowering AOV (₹99 free-delivery threshold, meals &lt;₹250). Q4 FY26 implied: 9,757 cr ÷ (25.4 mn × 3.4 × 3) ≈ ₹377 (D).</t>
  </si>
  <si>
    <t xml:space="preserve">Take rate (adjusted revenue % of NOV), Q4 FY26</t>
  </si>
  <si>
    <t xml:space="preserve">%</t>
  </si>
  <si>
    <t xml:space="preserve">Operating Model: adjusted revenue ÷ NOV.</t>
  </si>
  <si>
    <t xml:space="preserve">Contribution margin (% of NOV), Q4 FY26</t>
  </si>
  <si>
    <t xml:space="preserve">Operating Model: contribution profit ÷ NOV (company-defined contribution).</t>
  </si>
  <si>
    <t xml:space="preserve">Adjusted EBITDA margin (% of NOV), Q4 FY26</t>
  </si>
  <si>
    <t xml:space="preserve">Fully-loaded view: includes tech, corporate and marketing not allocated to orders.</t>
  </si>
  <si>
    <t xml:space="preserve">Annual customer retention (share of customers still ordering next year)</t>
  </si>
  <si>
    <t xml:space="preserve">NOT DISCLOSED. Eternal does not publish cohort retention. TO IMPROVE with cohort data if ever disclosed.</t>
  </si>
  <si>
    <t xml:space="preserve">Annual growth in contribution per order</t>
  </si>
  <si>
    <t xml:space="preserve">ASSUMPTION: inflation / take-rate gains.</t>
  </si>
  <si>
    <t xml:space="preserve">Discount rate</t>
  </si>
  <si>
    <t xml:space="preserve">Model WACC.</t>
  </si>
  <si>
    <t xml:space="preserve">Customer-life horizon cap</t>
  </si>
  <si>
    <t xml:space="preserve">years</t>
  </si>
  <si>
    <t xml:space="preserve">Customer acquisition cost (CAC)</t>
  </si>
  <si>
    <t xml:space="preserve">NOT DISCLOSED. Group advertising &amp; promotion (₹3,350 cr FY26) cannot be split by segment or new vs existing customers. Placeholder; see sensitivity.</t>
  </si>
  <si>
    <t xml:space="preserve">Output</t>
  </si>
  <si>
    <t xml:space="preserve">Orders per customer per year</t>
  </si>
  <si>
    <t xml:space="preserve">orders</t>
  </si>
  <si>
    <t xml:space="preserve">Adjusted revenue per order</t>
  </si>
  <si>
    <t xml:space="preserve">Net AOV × take rate.</t>
  </si>
  <si>
    <t xml:space="preserve">Contribution per order</t>
  </si>
  <si>
    <t xml:space="preserve">Net AOV × contribution margin.</t>
  </si>
  <si>
    <t xml:space="preserve">Adj. EBITDA per order (fully loaded)</t>
  </si>
  <si>
    <t xml:space="preserve">Year-1 contribution per customer</t>
  </si>
  <si>
    <t xml:space="preserve">Orders/yr × contribution/order.</t>
  </si>
  <si>
    <t xml:space="preserve">Year-1 fully-loaded EBITDA per customer</t>
  </si>
  <si>
    <t xml:space="preserve">Cohort decay factor a = retention × (1+growth) ÷ (1+discount)</t>
  </si>
  <si>
    <t xml:space="preserve">Annuity factor Σ a^(t−1), t = 1..N</t>
  </si>
  <si>
    <t xml:space="preserve">Closed form (1−a^N)/(1−a).</t>
  </si>
  <si>
    <t xml:space="preserve">CUSTOMER LTV — contribution basis (before CAC)</t>
  </si>
  <si>
    <t xml:space="preserve">Year-1 contribution ÷ (1+r)^0.5 × annuity factor (mid-year).</t>
  </si>
  <si>
    <t xml:space="preserve">LTV net of CAC — contribution basis</t>
  </si>
  <si>
    <t xml:space="preserve">LTV / CAC</t>
  </si>
  <si>
    <t xml:space="preserve">Rule of thumb &gt;3x healthy.</t>
  </si>
  <si>
    <t xml:space="preserve">LTV — fully-loaded Adj. EBITDA basis (before CAC)</t>
  </si>
  <si>
    <t xml:space="preserve">Conservative floor.</t>
  </si>
  <si>
    <t xml:space="preserve">LTV net of CAC — fully-loaded basis</t>
  </si>
  <si>
    <t xml:space="preserve">Implied expected customer lifetime</t>
  </si>
  <si>
    <t xml:space="preserve">1 ÷ (1 − retention).</t>
  </si>
  <si>
    <t xml:space="preserve">Value of current active base (LTV × Q1 FY27 customers)</t>
  </si>
  <si>
    <t xml:space="preserve">₹ × mn ÷ 10.</t>
  </si>
  <si>
    <t xml:space="preserve">Food-delivery EV in SOTP (PV today)</t>
  </si>
  <si>
    <t xml:space="preserve">SOTP food-delivery EV ÷ value of existing base (x)</t>
  </si>
  <si>
    <t xml:space="preserve">Market pays this multiple of the existing base LTV for growth, new cohorts and pricing power.</t>
  </si>
  <si>
    <t xml:space="preserve">LTV sensitivity (₹, contribution basis, before CAC): retention (down) vs orders per month (across)</t>
  </si>
  <si>
    <t xml:space="preserve">LTV / CAC sensitivity: retention (down) vs CAC ₹ (across), at base frequency</t>
  </si>
  <si>
    <t xml:space="preserve">Reading the result</t>
  </si>
  <si>
    <t xml:space="preserve">One Zomato customer is worth about ₹4,036 on a contribution basis (₹2,152 fully-loaded), against an assumed CAC of ₹250: LTV/CAC ≈ 16.1x. That is attractive but depends on the undisclosed retention and CAC assumptions — see grids.</t>
  </si>
  <si>
    <t xml:space="preserve">The existing 27 mn customers are worth ≈ ₹10,978 cr on this basis, while the SOTP gives food delivery ≈ 8x that. The market therefore pays mainly for growth, new cohorts and monetisation upside (including ads), not for today's base.</t>
  </si>
  <si>
    <t xml:space="preserve">MINI-PROJECT 2 — CAN ZOMATO BECOME AN ADVERTISING BUSINESS?</t>
  </si>
  <si>
    <t xml:space="preserve">DISCLOSURE LIMIT: Eternal does not report advertising revenue separately — ad income sits inside food-delivery revenue ("commission income, ad income and platform fees", AR FY25). Everything below is a SCENARIO model, not a reconstruction of reported ad revenue.</t>
  </si>
  <si>
    <t xml:space="preserve">Driver</t>
  </si>
  <si>
    <t xml:space="preserve">Low</t>
  </si>
  <si>
    <t xml:space="preserve">High</t>
  </si>
  <si>
    <t xml:space="preserve">Restaurant partners on platform (thousand)</t>
  </si>
  <si>
    <t xml:space="preserve">Q4 FY26 letter: "400k+ restaurants" supported by platforms.</t>
  </si>
  <si>
    <t xml:space="preserve">Share of restaurants buying ads in a typical month</t>
  </si>
  <si>
    <t xml:space="preserve">NOT DISCLOSED.</t>
  </si>
  <si>
    <t xml:space="preserve">Average monthly ad spend per advertising restaurant (₹)</t>
  </si>
  <si>
    <t xml:space="preserve">NOT DISCLOSED. Long-tail restaurants spend little; chains/cloud kitchens much more.</t>
  </si>
  <si>
    <t xml:space="preserve">Incremental EBITDA margin on ad revenue</t>
  </si>
  <si>
    <t xml:space="preserve">ASSUMPTION: ads are sold on existing traffic; main costs are sales force, ad-tech and payment/GST leakage.</t>
  </si>
  <si>
    <t xml:space="preserve">Food-delivery NOV FY26 (₹ cr)</t>
  </si>
  <si>
    <t xml:space="preserve">Food-delivery adjusted revenue FY26 (₹ cr)</t>
  </si>
  <si>
    <t xml:space="preserve">Food-delivery Adj. EBITDA FY26 (₹ cr)</t>
  </si>
  <si>
    <t xml:space="preserve">Food-delivery Adj. EBITDA FY28E (₹ cr, active scenario)</t>
  </si>
  <si>
    <t xml:space="preserve">SOTP food-delivery EV / EBITDA multiple (x)</t>
  </si>
  <si>
    <t xml:space="preserve">Advertising restaurants (thousand)</t>
  </si>
  <si>
    <t xml:space="preserve">Annual advertising revenue (₹ cr)</t>
  </si>
  <si>
    <t xml:space="preserve">Ad revenue as % of FY26 food-delivery NOV (implied ad take rate)</t>
  </si>
  <si>
    <t xml:space="preserve">Ad revenue as % of FY26 food-delivery adjusted revenue</t>
  </si>
  <si>
    <t xml:space="preserve">Incremental Adj. EBITDA from ads (₹ cr)</t>
  </si>
  <si>
    <t xml:space="preserve">Ad EBITDA as % of FY26 food-delivery Adj. EBITDA</t>
  </si>
  <si>
    <t xml:space="preserve">Ad EBITDA as % of FY28E food-delivery Adj. EBITDA</t>
  </si>
  <si>
    <t xml:space="preserve">Ad EBITDA margin vs food-delivery EBITDA margin on adjusted revenue (FY26)</t>
  </si>
  <si>
    <t xml:space="preserve">&gt;1x means each rupee of ad revenue earns a higher EBITDA margin than the average food-delivery rupee — the "high-margin engine" test.</t>
  </si>
  <si>
    <t xml:space="preserve">Valuation impact at food-delivery multiple (₹ cr EV)</t>
  </si>
  <si>
    <t xml:space="preserve">Valuation impact per share (₹)</t>
  </si>
  <si>
    <t xml:space="preserve">Impact as % of SOTP food-delivery EV</t>
  </si>
  <si>
    <t xml:space="preserve">Is it a meaningful high-margin engine? (test: ≥25% of FD EBITDA = meaningful; 10–25% = material)</t>
  </si>
  <si>
    <t xml:space="preserve">Reverse test: what would ads have to be to account for 25% of FY26 food-delivery Adj. EBITDA?</t>
  </si>
  <si>
    <t xml:space="preserve">Required ad revenue at base margin (₹ cr)</t>
  </si>
  <si>
    <t xml:space="preserve">Required advertiser penetration at base spend</t>
  </si>
  <si>
    <t xml:space="preserve">Required ad take rate on FY26 NOV</t>
  </si>
  <si>
    <t xml:space="preserve">Compare this implied take rate with global food-delivery ad disclosures (DoorDash, Uber Eats, Deliveroo) — TO ADD from their filings; not fetched here.</t>
  </si>
  <si>
    <t xml:space="preserve">Ad EBITDA (₹ cr) sensitivity: advertiser penetration (down) vs avg monthly spend ₹ (across), base margin, 400k restaurants</t>
  </si>
  <si>
    <t xml:space="preserve">Base case: ads add ≈ ₹461 cr of EBITDA (23% of FY26 food-delivery EBITDA, ≈ ₹17/share). Range: low ₹108 cr (Minor) to high ₹1,428 cr (Meaningful).</t>
  </si>
  <si>
    <t xml:space="preserve">Answer: advertising can be a high-margin add-on (base ad margin ≈ 4.6x the food-delivery EBITDA margin on adjusted revenue) but it only becomes a core engine in the High case. To reach 25% of FD EBITDA needs ≈ 22% advertiser penetration at ₹6,000/month. Ad revenue is not disclosed, so this is a scenario, not a finding.</t>
  </si>
  <si>
    <t xml:space="preserve">MINI-PROJECT 3 — WHO CROSS-SELLS BETTER: ZOMATO (ETERNAL) OR SWIGGY?</t>
  </si>
  <si>
    <t xml:space="preserve">Period: Q1 FY27 (Apr–Jun 2026). Each company uses its own definitions (Eternal: NOV = after discounts; Swiggy: GOV = before discounts) — compare ratios, not raw levels. Nothing here is fabricated: missing metrics are marked N/D.</t>
  </si>
  <si>
    <t xml:space="preserve">Eternal</t>
  </si>
  <si>
    <t xml:space="preserve">Swiggy</t>
  </si>
  <si>
    <t xml:space="preserve">Source / note</t>
  </si>
  <si>
    <t xml:space="preserve">Reported operating data</t>
  </si>
  <si>
    <t xml:space="preserve">Food-delivery MTU (mn)</t>
  </si>
  <si>
    <t xml:space="preserve">Eternal Q1 FY27 (press); Swiggy Q1 FY27 shareholder letter.</t>
  </si>
  <si>
    <t xml:space="preserve">Quick-commerce MTU (mn)</t>
  </si>
  <si>
    <t xml:space="preserve">Blinkit Q1 FY27; Instamart per Swiggy letter table (13.5). Press release says "over 14 mn" (exit rate).</t>
  </si>
  <si>
    <t xml:space="preserve">Quick-commerce orders (mn)</t>
  </si>
  <si>
    <t xml:space="preserve">Swiggy letter table: Instamart orders 114.5 mn, AOV ₹691. NOTE: one press summary mislabels 114.5 mn as food-delivery orders — rejected.</t>
  </si>
  <si>
    <t xml:space="preserve">Quick-commerce NOV (₹ cr)</t>
  </si>
  <si>
    <t xml:space="preserve">Blinkit NOV; Instamart NOV (Swiggy Q1 FY27 via ViE Stories).</t>
  </si>
  <si>
    <t xml:space="preserve">Quick-commerce Adj. EBITDA (₹ cr)</t>
  </si>
  <si>
    <t xml:space="preserve">Eternal Q1 FY27; Swiggy Q1 FY27.</t>
  </si>
  <si>
    <t xml:space="preserve">Food-delivery Adj. EBITDA (₹ cr)</t>
  </si>
  <si>
    <t xml:space="preserve">Both companies.</t>
  </si>
  <si>
    <t xml:space="preserve">Food-delivery revenue from operations (₹ cr, statutory)</t>
  </si>
  <si>
    <t xml:space="preserve">Statutory basis on both sides for like-for-like (Eternal adjusted revenue is 3,537).</t>
  </si>
  <si>
    <t xml:space="preserve">Swiggy B2C total orders (mn)</t>
  </si>
  <si>
    <t xml:space="preserve">Swiggy letter: B2C total orders. Eternal does not publish a combined figure.</t>
  </si>
  <si>
    <t xml:space="preserve">Platform-level unique monthly transacting users (mn)</t>
  </si>
  <si>
    <t xml:space="preserve">N/D</t>
  </si>
  <si>
    <t xml:space="preserve">Swiggy discloses de-duplicated platform MTU. Eternal does NOT (only "109 mn" annual unique, FY26, across Blinkit/District/Zomato).</t>
  </si>
  <si>
    <t xml:space="preserve">Swiggy platform order frequency, reported (x)</t>
  </si>
  <si>
    <t xml:space="preserve">MediaNama earnings-call summary. Our calc from 308 ÷ 27.5 ÷ 3 = 3.73 — small gap unexplained; flagged.</t>
  </si>
  <si>
    <t xml:space="preserve">Calculated per-user economics</t>
  </si>
  <si>
    <t xml:space="preserve">Quick-commerce orders per user per month (x)</t>
  </si>
  <si>
    <t xml:space="preserve">Orders ÷ MTU ÷ 3 months.</t>
  </si>
  <si>
    <t xml:space="preserve">Quick-commerce net AOV (₹)</t>
  </si>
  <si>
    <t xml:space="preserve">NOV ÷ orders (Blinkit reported 518 ✓).</t>
  </si>
  <si>
    <t xml:space="preserve">Quick-commerce NOV per user per month (₹) — wallet share proxy</t>
  </si>
  <si>
    <t xml:space="preserve">How much each QC user spends a month.</t>
  </si>
  <si>
    <t xml:space="preserve">Quick-commerce Adj. EBITDA per user per month (₹)</t>
  </si>
  <si>
    <t xml:space="preserve">Food-delivery revenue per user per month (₹, statutory)</t>
  </si>
  <si>
    <t xml:space="preserve">Near-identical monetisation per food user.</t>
  </si>
  <si>
    <t xml:space="preserve">Food-delivery Adj. EBITDA per user per month (₹)</t>
  </si>
  <si>
    <t xml:space="preserve">Profit per food user: Eternal ahead.</t>
  </si>
  <si>
    <t xml:space="preserve">Swiggy food-delivery orders (mn) = B2C orders − Instamart orders</t>
  </si>
  <si>
    <t xml:space="preserve">D</t>
  </si>
  <si>
    <t xml:space="preserve">DERIVED; assumes dine-out/OOH are not counted in B2C orders. Eternal food-delivery orders for Q1 FY27: N/D in sources found — TO PULL from Annexure A of the Q1 FY27 shareholder letter.</t>
  </si>
  <si>
    <t xml:space="preserve">Swiggy food-delivery AOV (₹, GOV basis)</t>
  </si>
  <si>
    <t xml:space="preserve">FD GOV ₹9,490 cr (R) ÷ derived orders. Plausible vs ₹475–490 trend in prior letters.</t>
  </si>
  <si>
    <t xml:space="preserve">Food-delivery orders per user per month (x)</t>
  </si>
  <si>
    <t xml:space="preserve">A / D</t>
  </si>
  <si>
    <t xml:space="preserve">Eternal: Mini-project 1 assumption (FY25 calc 3.45). Swiggy: derived.</t>
  </si>
  <si>
    <t xml:space="preserve">Cross-sell / ecosystem proxies</t>
  </si>
  <si>
    <t xml:space="preserve">Quick-commerce users as a multiple of food-delivery users (x)</t>
  </si>
  <si>
    <t xml:space="preserve">Shows QC scale relative to the food franchise — NOT overlap. Blinkit/Zomato are separate apps.</t>
  </si>
  <si>
    <t xml:space="preserve">Minimum users using both food and QC in a month (mn) = FD MTU + QC MTU − platform MTU</t>
  </si>
  <si>
    <t xml:space="preserve">Floor, because platform MTU also includes Dineout/OOH users. Eternal cannot be computed — unique B2C MTU not disclosed.</t>
  </si>
  <si>
    <t xml:space="preserve">  as % of quick-commerce users (food → QC conversion floor)</t>
  </si>
  <si>
    <t xml:space="preserve">Share of Instamart users who also order food: AT LEAST this much.</t>
  </si>
  <si>
    <t xml:space="preserve">  as % of food-delivery users (QC → food conversion floor)</t>
  </si>
  <si>
    <t xml:space="preserve">Share of Swiggy food users who also use Instamart: AT LEAST this much.</t>
  </si>
  <si>
    <t xml:space="preserve">Platform frequency vs food-only frequency (x) — evidence users add orders across products</t>
  </si>
  <si>
    <t xml:space="preserve">Swiggy: platform orders per user ÷ food orders per user.</t>
  </si>
  <si>
    <t xml:space="preserve">Food-delivery Adj. EBITDA per user: Eternal ÷ Swiggy (x)</t>
  </si>
  <si>
    <t xml:space="preserve">Quick-commerce NOV per user: Eternal ÷ Swiggy (x)</t>
  </si>
  <si>
    <t xml:space="preserve">Blinkit users spend more per month — deeper wallet share.</t>
  </si>
  <si>
    <t xml:space="preserve">Missing metrics (not fabricated) and what to pull</t>
  </si>
  <si>
    <t xml:space="preserve">• Eternal: unique (de-duplicated) B2C monthly users, and % of Blinkit users who also order on Zomato → not in shareholder letters. Check earnings-call Q&amp;A transcripts; otherwise the comparison stays one-sided.</t>
  </si>
  <si>
    <t xml:space="preserve">• Eternal: food-delivery orders and GOV for FY26/Q1 FY27 → Annexure A of the shareholder letter (PDF tables did not extract cleanly).</t>
  </si>
  <si>
    <t xml:space="preserve">• Swiggy: cohort-level food→Instamart conversion → Swiggy discloses "cross-pollination" qualitatively (Q3 FY26 letter) but no percentage found.</t>
  </si>
  <si>
    <t xml:space="preserve">• Both: wallet share needs category-level spend per user; per-user NOV above is only a proxy.</t>
  </si>
  <si>
    <t xml:space="preserve">Swiggy is the only one that discloses overlap: at least 39% of Instamart users also order food. Eternal discloses no de-duplicated user count, so its cross-sell cannot be measured — the honest answer is "unproven for Eternal".</t>
  </si>
  <si>
    <t xml:space="preserve">On proxies Eternal monetises better: food-delivery EBITDA per user is 1.5x Swiggy's, Blinkit NOV per user is 1.3x Instamart's and Blinkit has 1.17x as many users as Zomato food (Swiggy 0.70x). Better ecosystem economics, not proven cross-selling.</t>
  </si>
  <si>
    <t xml:space="preserve">MODULE 4 (optional) — BLINKIT IMPLIED VALUATION: what is the market paying for Blinkit?</t>
  </si>
  <si>
    <t xml:space="preserve">Market capitalisation (₹ cr)</t>
  </si>
  <si>
    <t xml:space="preserve">Price × shares (Assumptions).</t>
  </si>
  <si>
    <t xml:space="preserve">Less: cash &amp; treasury (₹ cr)</t>
  </si>
  <si>
    <t xml:space="preserve">Add: debt + contingent GST (₹ cr)</t>
  </si>
  <si>
    <t xml:space="preserve">Market-implied enterprise value (₹ cr)</t>
  </si>
  <si>
    <t xml:space="preserve">Less: food delivery at SOTP value (PV today, ₹ cr)</t>
  </si>
  <si>
    <t xml:space="preserve">Uses the SOTP multiples on the Assumptions sheet.</t>
  </si>
  <si>
    <t xml:space="preserve">Less: District (PV today, ₹ cr)</t>
  </si>
  <si>
    <t xml:space="preserve">Less: Hyperpure (PV today, ₹ cr)</t>
  </si>
  <si>
    <t xml:space="preserve">Less: Others / corporate drag (PV today, ₹ cr; negative value adds back)</t>
  </si>
  <si>
    <t xml:space="preserve">IMPLIED BLINKIT ENTERPRISE VALUE TODAY (₹ cr)</t>
  </si>
  <si>
    <t xml:space="preserve">What is left for Blinkit after valuing everything else.</t>
  </si>
  <si>
    <t xml:space="preserve">Implied Blinkit EV at Mar-2028 (₹ cr) = today ÷ PV factor</t>
  </si>
  <si>
    <t xml:space="preserve">Implied EV today / FY26A NOV (x)</t>
  </si>
  <si>
    <t xml:space="preserve">Implied EV today / FY27E NOV (x)</t>
  </si>
  <si>
    <t xml:space="preserve">Implied EV (Mar-28) / FY28E NOV (x)</t>
  </si>
  <si>
    <t xml:space="preserve">Compare with SOTP-assumed multiple (next row).</t>
  </si>
  <si>
    <t xml:space="preserve">SOTP-assumed Blinkit EV / FY28E NOV (x)</t>
  </si>
  <si>
    <t xml:space="preserve">Implied EV (Mar-28) / FY28E Adj. EBITDA (x)</t>
  </si>
  <si>
    <t xml:space="preserve">FY28E EBITDA still small (margin ramping), so this multiple is very high.</t>
  </si>
  <si>
    <t xml:space="preserve">Implied EV (Mar-28) / FY30E Adj. EBITDA (x)</t>
  </si>
  <si>
    <t xml:space="preserve">More meaningful: nearer steady-state margin.</t>
  </si>
  <si>
    <t xml:space="preserve">FY30E Blinkit EBITDA needed for 20x EV/EBITDA at Mar-28 (₹ cr)</t>
  </si>
  <si>
    <t xml:space="preserve">  as % of FY30E Blinkit NOV (required margin)</t>
  </si>
  <si>
    <t xml:space="preserve">Compare with management steady-state target of 5–6%.</t>
  </si>
  <si>
    <t xml:space="preserve">After valuing food delivery, District, Hyperpure and Others at the SOTP multiples, the market price leaves ≈ ₹191,550 cr for Blinkit, i.e. 1.77x FY28E NOV (SOTP assumes 1.25x).</t>
  </si>
  <si>
    <t xml:space="preserve">Reverse-engineered: to justify that price at 20x EV/EBITDA, Blinkit needs ≈ 3.8% EBITDA margin on FY30E NOV — compare with management's 5–6% steady-state target.</t>
  </si>
  <si>
    <t xml:space="preserve">ETERNAL LTD. — SOURCES, DATA STATUS AND OPEN ITEMS</t>
  </si>
  <si>
    <t xml:space="preserve">#</t>
  </si>
  <si>
    <t xml:space="preserve">Item</t>
  </si>
  <si>
    <t xml:space="preserve">Used for</t>
  </si>
  <si>
    <t xml:space="preserve">Type</t>
  </si>
  <si>
    <t xml:space="preserve">Source / URL / caveat</t>
  </si>
  <si>
    <t xml:space="preserve">Eternal Q4 FY26 shareholder letter + audited FY26 results (28-Apr-2026)</t>
  </si>
  <si>
    <t xml:space="preserve">FY25/FY26 P&amp;L, segment revenue, segment note, cash flow, balance sheet, GST contingencies, guidance</t>
  </si>
  <si>
    <t xml:space="preserve">Primary</t>
  </si>
  <si>
    <t xml:space="preserve">https://b.zmtcdn.com/investor-relations/Eternal_Limited_Shareholders_Letter_Q4FY26_Results.pdf (Deloitte unmodified opinion). Tables extracted from PDF text; OCR noise checked by arithmetic tie-out.</t>
  </si>
  <si>
    <t xml:space="preserve">HDFC Securities (HSIE) — Eternal 4QFY26 results review (29-Apr-2026)</t>
  </si>
  <si>
    <t xml:space="preserve">Quarterly segment NOV, adjusted revenue, Adj. EBITDA, KPIs (FY24Q4–FY26Q4); SOTP reference multiples</t>
  </si>
  <si>
    <t xml:space="preserve">Secondary</t>
  </si>
  <si>
    <t xml:space="preserve">https://www.hdfcsec.com/hsl.docs//Eternal%20-%20Q4FY26%20-%20HSIE-202604290654005590303.pdf — INR mn ÷ 10. FY25/FY26 sums tie to company: Adj. EBITDA 1,079 / 1,189; quick-commerce revenue 5,206 / 37,779. TO VERIFY quarter-by-quarter against company letters.</t>
  </si>
  <si>
    <t xml:space="preserve">Eternal Q1 FY27 results (22-Jul-2026), via press</t>
  </si>
  <si>
    <t xml:space="preserve">Q1 FY27 NOV, Adj. EBITDA, MTU, orders, stores, cash ₹18,288 cr</t>
  </si>
  <si>
    <t xml:space="preserve">Business Standard (22/23-Jul-2026); X post @NSuresh_ECW; Inc42; MediaNama earnings-call takeaways; Indian Startup News. Segment sum 606+6+102−65−94 = 555 ties to reported total. TO PULL official Q1 FY27 shareholder letter from eternal.com/investor-relations.</t>
  </si>
  <si>
    <t xml:space="preserve">Eternal Annual Report FY25 (via MediaNama / Storyboard18)</t>
  </si>
  <si>
    <t xml:space="preserve">FY25 food-delivery orders (853 mn), AOV, MTU (20.6 mn), Blinkit orders</t>
  </si>
  <si>
    <t xml:space="preserve">https://www.medianama.com/2025/07/223-eternal-fy25-annual-report-highlights-zomato-blinkit/</t>
  </si>
  <si>
    <t xml:space="preserve">Swiggy Q1 FY27 shareholder letter (Jul-2026)</t>
  </si>
  <si>
    <t xml:space="preserve">Swiggy MTU, platform MTU, Instamart orders / AOV / MTU, B2C orders</t>
  </si>
  <si>
    <t xml:space="preserve">Primary (snippets)</t>
  </si>
  <si>
    <t xml:space="preserve">https://www.swiggy.com/corporate/wp-content/uploads/2026/07/Q1-FY2027-Shareholder-letter.pdf — read via search-result excerpts of the key-metrics tables; column order Q1 FY26 → Q1 FY27. TO VERIFY by opening the PDF.</t>
  </si>
  <si>
    <t xml:space="preserve">Swiggy Q1 FY27 press coverage</t>
  </si>
  <si>
    <t xml:space="preserve">Swiggy FD GOV 9,490, adj. EBITDA 292, Instamart GOV 7,907 / NOV 5,817 / EBITDA −778, B2C GOV 18,926</t>
  </si>
  <si>
    <t xml:space="preserve">Inc42, BW Marketing World, Business Standard, ViE Stories, YourStory, Medianama (Aug-2026).</t>
  </si>
  <si>
    <t xml:space="preserve">Share price ₹316.80 (17-Sep-2026)</t>
  </si>
  <si>
    <t xml:space="preserve">Market cap, upside/downside</t>
  </si>
  <si>
    <t xml:space="preserve">https://anandrathi.com/stocks/eternal-ltd/share-price-today — REFRESH to latest close.</t>
  </si>
  <si>
    <t xml:space="preserve">India 10-yr G-sec yield ~6.7% (7-Jul-2026)</t>
  </si>
  <si>
    <t xml:space="preserve">Risk-free rate</t>
  </si>
  <si>
    <t xml:space="preserve">https://tradingeconomics.com/india/government-bond-yield/news/564773 — REFRESH.</t>
  </si>
  <si>
    <t xml:space="preserve">ERP 5.5%, beta 1.20, terminal growth 5%, all operating drivers on Assumptions</t>
  </si>
  <si>
    <t xml:space="preserve">WACC and forecast</t>
  </si>
  <si>
    <t xml:space="preserve">ASSUMPTION</t>
  </si>
  <si>
    <t xml:space="preserve">Judgement. Beta and ERP are NOT sourced from a data vendor.</t>
  </si>
  <si>
    <t xml:space="preserve">Mini-project 1 retention, CAC, forward frequency, AOV</t>
  </si>
  <si>
    <t xml:space="preserve">Customer LTV</t>
  </si>
  <si>
    <t xml:space="preserve">Not disclosed by Eternal. Sensitivity grids show the range.</t>
  </si>
  <si>
    <t xml:space="preserve">Mini-project 2 advertiser penetration, spend, margin</t>
  </si>
  <si>
    <t xml:space="preserve">Advertising economics</t>
  </si>
  <si>
    <t xml:space="preserve">Ad revenue is not disclosed separately; model is scenario-based.</t>
  </si>
  <si>
    <t xml:space="preserve">OPEN ITEMS / KNOWN LIMITATIONS</t>
  </si>
  <si>
    <t xml:space="preserve">• Historical sheet FY21 and FY22 line items are still blank (needs the FY22 annual report on BSE, scrip 543320). Left untouched; the model does not depend on them.</t>
  </si>
  <si>
    <t xml:space="preserve">• FY25 lease-rental plug (356) differs from FY25 cash lease payments (405) by 49; FY26 ties exactly. Not forced — definitional difference.</t>
  </si>
  <si>
    <t xml:space="preserve">• Hyperpure FY26 revenue (5,366) includes non-restaurant sales later moved to Blinkit (1P). FY27E revenue is therefore a reset input, not a growth rate.</t>
  </si>
  <si>
    <t xml:space="preserve">• D&amp;A excluding right-of-use assets is a proxy (total D&amp;A − lease principal paid). ROU depreciation is not separately extracted.</t>
  </si>
  <si>
    <t xml:space="preserve">• Tax is applied to EBIT from FY27E even though carried-forward losses shelter part of it (management says fully used in FY27) — conservative.</t>
  </si>
  <si>
    <t xml:space="preserve">• Share count 966.75 cr includes the ESOP-trust pool; consolidated paid-up capital is 919 cr. Per-share values are ~5% lower than on 919 cr.</t>
  </si>
  <si>
    <t xml:space="preserve">• Swiggy "114.5 mn food-delivery orders" in one press summary is actually Instamart orders; rejected and Swiggy food orders derived instead.</t>
  </si>
  <si>
    <t xml:space="preserve">• Eternal food-delivery orders / GOV for FY26 and Q1 FY27 not found — Mini-project 1 uses a forward-frequency assumption anchored on FY25 disclosures.</t>
  </si>
  <si>
    <t xml:space="preserve">• Static tables (scenario summary, sensitivities 2–3) are pasted values from running the model; they do not update when inputs change. Re-run by switching the selector on Assumptions.</t>
  </si>
</sst>
</file>

<file path=xl/styles.xml><?xml version="1.0" encoding="utf-8"?>
<styleSheet xmlns="http://schemas.openxmlformats.org/spreadsheetml/2006/main">
  <numFmts count="15">
    <numFmt numFmtId="164" formatCode="General"/>
    <numFmt numFmtId="165" formatCode="mmm\-yy"/>
    <numFmt numFmtId="166" formatCode="#,##0.0;\(#,##0.0\);\-"/>
    <numFmt numFmtId="167" formatCode="0.0%;\(0.0%\);\-"/>
    <numFmt numFmtId="168" formatCode="0.00%;\(0.00%\);\-"/>
    <numFmt numFmtId="169" formatCode="#,##0;\(#,##0\);\-"/>
    <numFmt numFmtId="170" formatCode="dd\-mmm\-yyyy"/>
    <numFmt numFmtId="171" formatCode="#,##0.00;\(#,##0.00\);\-"/>
    <numFmt numFmtId="172" formatCode="0"/>
    <numFmt numFmtId="173" formatCode="0.0\x"/>
    <numFmt numFmtId="174" formatCode="0.000"/>
    <numFmt numFmtId="175" formatCode="0.00\x"/>
    <numFmt numFmtId="176" formatCode="#,##0.0"/>
    <numFmt numFmtId="177" formatCode="0.0%"/>
    <numFmt numFmtId="178" formatCode="#,##0"/>
  </numFmts>
  <fonts count="17">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1"/>
      <name val="Cambria"/>
      <family val="0"/>
      <charset val="1"/>
    </font>
    <font>
      <b val="true"/>
      <sz val="16"/>
      <name val="Calibri"/>
      <family val="0"/>
      <charset val="1"/>
    </font>
    <font>
      <b val="true"/>
      <sz val="11"/>
      <color rgb="FF000000"/>
      <name val="Calibri"/>
      <family val="0"/>
      <charset val="1"/>
    </font>
    <font>
      <sz val="11"/>
      <color rgb="FF000000"/>
      <name val="Calibri"/>
      <family val="0"/>
      <charset val="1"/>
    </font>
    <font>
      <i val="true"/>
      <sz val="11"/>
      <color rgb="FF000000"/>
      <name val="Calibri"/>
      <family val="0"/>
      <charset val="1"/>
    </font>
    <font>
      <b val="true"/>
      <sz val="11"/>
      <color rgb="FF008000"/>
      <name val="Calibri"/>
      <family val="0"/>
      <charset val="1"/>
    </font>
    <font>
      <sz val="11"/>
      <color rgb="FF008000"/>
      <name val="Calibri"/>
      <family val="0"/>
      <charset val="1"/>
    </font>
    <font>
      <sz val="11"/>
      <color rgb="FF0000FF"/>
      <name val="Calibri"/>
      <family val="0"/>
      <charset val="1"/>
    </font>
    <font>
      <i val="true"/>
      <sz val="11"/>
      <name val="Cambria"/>
      <family val="0"/>
      <charset val="1"/>
    </font>
    <font>
      <b val="true"/>
      <sz val="13"/>
      <name val="Calibri"/>
      <family val="0"/>
      <charset val="1"/>
    </font>
    <font>
      <sz val="10"/>
      <name val="Arial"/>
      <family val="2"/>
    </font>
    <font>
      <b val="true"/>
      <sz val="11"/>
      <color rgb="FF0000FF"/>
      <name val="Calibri"/>
      <family val="0"/>
      <charset val="1"/>
    </font>
  </fonts>
  <fills count="5">
    <fill>
      <patternFill patternType="none"/>
    </fill>
    <fill>
      <patternFill patternType="gray125"/>
    </fill>
    <fill>
      <patternFill patternType="solid">
        <fgColor rgb="FFD9D9D9"/>
        <bgColor rgb="FFDDEBF7"/>
      </patternFill>
    </fill>
    <fill>
      <patternFill patternType="solid">
        <fgColor rgb="FFFFFF00"/>
        <bgColor rgb="FFFFFF00"/>
      </patternFill>
    </fill>
    <fill>
      <patternFill patternType="solid">
        <fgColor rgb="FFDDEBF7"/>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9"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70" fontId="12" fillId="0" borderId="0" xfId="0" applyFont="true" applyBorder="false" applyAlignment="true" applyProtection="false">
      <alignment horizontal="general" vertical="bottom" textRotation="0" wrapText="false" indent="0" shrinkToFit="false"/>
      <protection locked="true" hidden="false"/>
    </xf>
    <xf numFmtId="168" fontId="12" fillId="3" borderId="0" xfId="0" applyFont="true" applyBorder="false" applyAlignment="true" applyProtection="false">
      <alignment horizontal="general" vertical="bottom" textRotation="0" wrapText="false" indent="0" shrinkToFit="false"/>
      <protection locked="true" hidden="false"/>
    </xf>
    <xf numFmtId="171" fontId="12" fillId="3"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8" fontId="12"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9" fontId="12" fillId="0" borderId="0" xfId="0" applyFont="true" applyBorder="false" applyAlignment="true" applyProtection="false">
      <alignment horizontal="general" vertical="bottom" textRotation="0" wrapText="false" indent="0" shrinkToFit="false"/>
      <protection locked="true" hidden="false"/>
    </xf>
    <xf numFmtId="171" fontId="8" fillId="0" borderId="0" xfId="0" applyFont="true" applyBorder="false" applyAlignment="true" applyProtection="false">
      <alignment horizontal="general" vertical="bottom" textRotation="0" wrapText="false" indent="0" shrinkToFit="false"/>
      <protection locked="true" hidden="false"/>
    </xf>
    <xf numFmtId="166" fontId="12" fillId="0" borderId="0" xfId="0" applyFont="true" applyBorder="false" applyAlignment="true" applyProtection="false">
      <alignment horizontal="general" vertical="bottom" textRotation="0" wrapText="false" indent="0" shrinkToFit="false"/>
      <protection locked="true" hidden="false"/>
    </xf>
    <xf numFmtId="172" fontId="12" fillId="3"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7" fontId="12" fillId="3" borderId="0" xfId="0" applyFont="true" applyBorder="false" applyAlignment="true" applyProtection="false">
      <alignment horizontal="general" vertical="bottom" textRotation="0" wrapText="false" indent="0" shrinkToFit="false"/>
      <protection locked="true" hidden="false"/>
    </xf>
    <xf numFmtId="172" fontId="8" fillId="0" borderId="0" xfId="0" applyFont="true" applyBorder="false" applyAlignment="true" applyProtection="false">
      <alignment horizontal="general" vertical="bottom" textRotation="0" wrapText="false" indent="0" shrinkToFit="false"/>
      <protection locked="true" hidden="false"/>
    </xf>
    <xf numFmtId="172" fontId="12" fillId="0" borderId="0" xfId="0" applyFont="true" applyBorder="false" applyAlignment="true" applyProtection="false">
      <alignment horizontal="general" vertical="bottom" textRotation="0" wrapText="false" indent="0" shrinkToFit="false"/>
      <protection locked="true" hidden="false"/>
    </xf>
    <xf numFmtId="169" fontId="12" fillId="3" borderId="0" xfId="0" applyFont="true" applyBorder="false" applyAlignment="true" applyProtection="false">
      <alignment horizontal="general" vertical="bottom" textRotation="0" wrapText="false" indent="0" shrinkToFit="false"/>
      <protection locked="true" hidden="false"/>
    </xf>
    <xf numFmtId="173" fontId="12" fillId="3"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general" vertical="bottom" textRotation="0" wrapText="false" indent="0" shrinkToFit="false"/>
      <protection locked="true" hidden="false"/>
    </xf>
    <xf numFmtId="171" fontId="12" fillId="0" borderId="0" xfId="0" applyFont="true" applyBorder="false" applyAlignment="true" applyProtection="false">
      <alignment horizontal="general" vertical="bottom" textRotation="0" wrapText="false" indent="0" shrinkToFit="false"/>
      <protection locked="true" hidden="false"/>
    </xf>
    <xf numFmtId="174" fontId="8"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73" fontId="8" fillId="0" borderId="0" xfId="0" applyFont="true" applyBorder="false" applyAlignment="true" applyProtection="false">
      <alignment horizontal="general" vertical="bottom" textRotation="0" wrapText="false" indent="0" shrinkToFit="false"/>
      <protection locked="true" hidden="false"/>
    </xf>
    <xf numFmtId="175" fontId="8"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left" vertical="bottom" textRotation="0" wrapText="false" indent="0" shrinkToFit="false"/>
      <protection locked="true" hidden="false"/>
    </xf>
    <xf numFmtId="175" fontId="11" fillId="0" borderId="0" xfId="0" applyFont="true" applyBorder="false" applyAlignment="true" applyProtection="false">
      <alignment horizontal="general" vertical="bottom" textRotation="0" wrapText="false" indent="0" shrinkToFit="false"/>
      <protection locked="true" hidden="false"/>
    </xf>
    <xf numFmtId="176" fontId="12" fillId="0" borderId="0" xfId="0" applyFont="true" applyBorder="false" applyAlignment="true" applyProtection="false">
      <alignment horizontal="general" vertical="bottom" textRotation="0" wrapText="false" indent="0" shrinkToFit="false"/>
      <protection locked="true" hidden="false"/>
    </xf>
    <xf numFmtId="177" fontId="12" fillId="0" borderId="0" xfId="0" applyFont="true" applyBorder="false" applyAlignment="true" applyProtection="false">
      <alignment horizontal="general" vertical="bottom" textRotation="0" wrapText="false" indent="0" shrinkToFit="false"/>
      <protection locked="true" hidden="false"/>
    </xf>
    <xf numFmtId="178" fontId="12" fillId="0" borderId="0" xfId="0" applyFont="true" applyBorder="false" applyAlignment="true" applyProtection="false">
      <alignment horizontal="general" vertical="bottom" textRotation="0" wrapText="false" indent="0" shrinkToFit="false"/>
      <protection locked="true" hidden="false"/>
    </xf>
    <xf numFmtId="173" fontId="12"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left"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8" fontId="11" fillId="3" borderId="0" xfId="0" applyFont="true" applyBorder="false" applyAlignment="true" applyProtection="false">
      <alignment horizontal="general" vertical="bottom" textRotation="0" wrapText="false" indent="0" shrinkToFit="false"/>
      <protection locked="true" hidden="false"/>
    </xf>
    <xf numFmtId="169" fontId="7" fillId="4" borderId="0" xfId="0" applyFont="true" applyBorder="false" applyAlignment="true" applyProtection="false">
      <alignment horizontal="general" vertical="bottom"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9" fontId="16" fillId="0" borderId="0" xfId="0" applyFont="true" applyBorder="false" applyAlignment="true" applyProtection="false">
      <alignment horizontal="general" vertical="bottom" textRotation="0" wrapText="false" indent="0" shrinkToFit="false"/>
      <protection locked="true" hidden="false"/>
    </xf>
    <xf numFmtId="173" fontId="11"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right" vertical="bottom" textRotation="0" wrapText="false" indent="0" shrinkToFit="false"/>
      <protection locked="true" hidden="false"/>
    </xf>
    <xf numFmtId="175" fontId="8"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5"/>
  </cols>
  <sheetData>
    <row r="1" customFormat="false" ht="19.7" hidden="false" customHeight="false" outlineLevel="0" collapsed="false">
      <c r="A1" s="1" t="s">
        <v>0</v>
      </c>
      <c r="B1" s="1"/>
    </row>
    <row r="2" customFormat="false" ht="15" hidden="false" customHeight="false" outlineLevel="0" collapsed="false">
      <c r="A2" s="2" t="s">
        <v>1</v>
      </c>
      <c r="B2" s="2" t="s">
        <v>2</v>
      </c>
    </row>
    <row r="3" customFormat="false" ht="15" hidden="false" customHeight="false" outlineLevel="0" collapsed="false">
      <c r="A3" s="2" t="s">
        <v>3</v>
      </c>
      <c r="B3" s="2" t="s">
        <v>4</v>
      </c>
    </row>
    <row r="4" customFormat="false" ht="15" hidden="false" customHeight="false" outlineLevel="0" collapsed="false">
      <c r="A4" s="2"/>
    </row>
    <row r="5" customFormat="false" ht="15" hidden="false" customHeight="false" outlineLevel="0" collapsed="false">
      <c r="A5" s="3" t="s">
        <v>5</v>
      </c>
      <c r="B5" s="2" t="s">
        <v>6</v>
      </c>
    </row>
    <row r="6" customFormat="false" ht="15" hidden="false" customHeight="false" outlineLevel="0" collapsed="false">
      <c r="A6" s="2"/>
    </row>
    <row r="7" customFormat="false" ht="15" hidden="false" customHeight="false" outlineLevel="0" collapsed="false">
      <c r="A7" s="3" t="s">
        <v>7</v>
      </c>
      <c r="B7" s="2" t="s">
        <v>8</v>
      </c>
    </row>
    <row r="8" customFormat="false" ht="15" hidden="false" customHeight="false" outlineLevel="0" collapsed="false">
      <c r="A8" s="3" t="s">
        <v>9</v>
      </c>
      <c r="B8" s="2" t="s">
        <v>10</v>
      </c>
    </row>
    <row r="9" customFormat="false" ht="15" hidden="false" customHeight="false" outlineLevel="0" collapsed="false">
      <c r="A9" s="3" t="s">
        <v>11</v>
      </c>
      <c r="B9" s="2" t="s">
        <v>12</v>
      </c>
    </row>
    <row r="10" customFormat="false" ht="15" hidden="false" customHeight="false" outlineLevel="0" collapsed="false">
      <c r="A10" s="3" t="s">
        <v>13</v>
      </c>
      <c r="B10" s="2" t="s">
        <v>14</v>
      </c>
    </row>
    <row r="11" customFormat="false" ht="15" hidden="false" customHeight="false" outlineLevel="0" collapsed="false">
      <c r="A11" s="3" t="s">
        <v>15</v>
      </c>
      <c r="B11" s="2" t="s">
        <v>16</v>
      </c>
    </row>
    <row r="12" customFormat="false" ht="15" hidden="false" customHeight="false" outlineLevel="0" collapsed="false">
      <c r="A12" s="3" t="s">
        <v>17</v>
      </c>
      <c r="B12" s="2" t="s">
        <v>18</v>
      </c>
    </row>
    <row r="13" customFormat="false" ht="15" hidden="false" customHeight="false" outlineLevel="0" collapsed="false">
      <c r="A13" s="2"/>
    </row>
    <row r="14" customFormat="false" ht="15" hidden="false" customHeight="false" outlineLevel="0" collapsed="false">
      <c r="A14" s="3" t="s">
        <v>19</v>
      </c>
      <c r="B14" s="2" t="s">
        <v>20</v>
      </c>
    </row>
    <row r="15" customFormat="false" ht="15" hidden="false" customHeight="false" outlineLevel="0" collapsed="false">
      <c r="A15" s="3" t="s">
        <v>21</v>
      </c>
      <c r="B15" s="2" t="s">
        <v>22</v>
      </c>
    </row>
    <row r="16" customFormat="false" ht="15" hidden="false" customHeight="false" outlineLevel="0" collapsed="false">
      <c r="A16" s="2"/>
    </row>
    <row r="17" customFormat="false" ht="15" hidden="false" customHeight="false" outlineLevel="0" collapsed="false">
      <c r="A17" s="3" t="s">
        <v>23</v>
      </c>
      <c r="B17" s="2" t="s">
        <v>24</v>
      </c>
    </row>
    <row r="18" customFormat="false" ht="15" hidden="false" customHeight="false" outlineLevel="0" collapsed="false">
      <c r="A18" s="2"/>
    </row>
    <row r="19" customFormat="false" ht="15" hidden="false" customHeight="false" outlineLevel="0" collapsed="false">
      <c r="A19" s="3" t="s">
        <v>25</v>
      </c>
      <c r="B19" s="2"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10" activeCellId="0" sqref="N10"/>
    </sheetView>
  </sheetViews>
  <sheetFormatPr defaultColWidth="8.66796875" defaultRowHeight="14.25" zeroHeight="false" outlineLevelRow="0" outlineLevelCol="0"/>
  <cols>
    <col collapsed="false" customWidth="true" hidden="false" outlineLevel="0" max="1" min="1" style="2" width="62"/>
    <col collapsed="false" customWidth="true" hidden="false" outlineLevel="0" max="2" min="2" style="2" width="22"/>
    <col collapsed="false" customWidth="true" hidden="false" outlineLevel="0" max="3" min="3" style="2" width="80"/>
  </cols>
  <sheetData>
    <row r="1" customFormat="false" ht="19.5" hidden="false" customHeight="true" outlineLevel="0" collapsed="false">
      <c r="A1" s="4" t="s">
        <v>27</v>
      </c>
    </row>
    <row r="2" customFormat="false" ht="14.25" hidden="false" customHeight="true" outlineLevel="0" collapsed="false">
      <c r="A2" s="5" t="s">
        <v>28</v>
      </c>
    </row>
    <row r="3" customFormat="false" ht="14.25" hidden="false" customHeight="true" outlineLevel="0" collapsed="false">
      <c r="A3" s="6" t="s">
        <v>29</v>
      </c>
    </row>
    <row r="4" customFormat="false" ht="14.25" hidden="false" customHeight="true" outlineLevel="0" collapsed="false">
      <c r="A4" s="7"/>
    </row>
    <row r="5" customFormat="false" ht="14.25" hidden="false" customHeight="true" outlineLevel="0" collapsed="false">
      <c r="A5" s="6" t="s">
        <v>30</v>
      </c>
    </row>
    <row r="7" customFormat="false" ht="14.25" hidden="false" customHeight="true" outlineLevel="0" collapsed="false">
      <c r="A7" s="5" t="s">
        <v>31</v>
      </c>
    </row>
    <row r="8" customFormat="false" ht="14.25" hidden="false" customHeight="true" outlineLevel="0" collapsed="false">
      <c r="A8" s="8" t="s">
        <v>32</v>
      </c>
    </row>
    <row r="10" customFormat="false" ht="14.25" hidden="false" customHeight="true" outlineLevel="0" collapsed="false">
      <c r="A10" s="9" t="s">
        <v>33</v>
      </c>
      <c r="B10" s="9"/>
    </row>
    <row r="11" customFormat="false" ht="14.25" hidden="false" customHeight="true" outlineLevel="0" collapsed="false">
      <c r="A11" s="6" t="s">
        <v>34</v>
      </c>
      <c r="B11" s="10" t="str">
        <f aca="false">Assumptions!B32</f>
        <v>Base</v>
      </c>
    </row>
    <row r="12" customFormat="false" ht="14.25" hidden="false" customHeight="true" outlineLevel="0" collapsed="false">
      <c r="A12" s="6" t="s">
        <v>35</v>
      </c>
      <c r="B12" s="11" t="n">
        <f aca="false">Assumptions!B19</f>
        <v>316.8</v>
      </c>
    </row>
    <row r="13" customFormat="false" ht="14.25" hidden="false" customHeight="true" outlineLevel="0" collapsed="false">
      <c r="A13" s="6" t="s">
        <v>36</v>
      </c>
      <c r="B13" s="12" t="n">
        <f aca="false">Valuation!B43</f>
        <v>187.46574865466</v>
      </c>
    </row>
    <row r="14" customFormat="false" ht="14.25" hidden="false" customHeight="true" outlineLevel="0" collapsed="false">
      <c r="A14" s="6" t="s">
        <v>37</v>
      </c>
      <c r="B14" s="12" t="n">
        <f aca="false">Valuation!G74</f>
        <v>258.362699492282</v>
      </c>
    </row>
    <row r="15" customFormat="false" ht="14.25" hidden="false" customHeight="true" outlineLevel="0" collapsed="false">
      <c r="A15" s="6" t="s">
        <v>38</v>
      </c>
      <c r="B15" s="12" t="n">
        <f aca="false">Valuation!G77</f>
        <v>222.914224073471</v>
      </c>
    </row>
    <row r="16" customFormat="false" ht="14.25" hidden="false" customHeight="true" outlineLevel="0" collapsed="false">
      <c r="A16" s="6" t="s">
        <v>39</v>
      </c>
      <c r="B16" s="13" t="n">
        <f aca="false">B15/B12-1</f>
        <v>-0.2963566159297</v>
      </c>
    </row>
    <row r="17" customFormat="false" ht="14.25" hidden="false" customHeight="true" outlineLevel="0" collapsed="false">
      <c r="A17" s="6" t="s">
        <v>40</v>
      </c>
      <c r="B17" s="14" t="n">
        <f aca="false">Assumptions!B13</f>
        <v>0.133</v>
      </c>
    </row>
    <row r="18" customFormat="false" ht="14.25" hidden="false" customHeight="true" outlineLevel="0" collapsed="false">
      <c r="A18" s="6" t="s">
        <v>41</v>
      </c>
      <c r="B18" s="14" t="n">
        <f aca="false">Assumptions!B16</f>
        <v>0.05</v>
      </c>
    </row>
    <row r="19" customFormat="false" ht="14.25" hidden="false" customHeight="true" outlineLevel="0" collapsed="false">
      <c r="A19" s="6" t="s">
        <v>42</v>
      </c>
      <c r="B19" s="15" t="n">
        <f aca="false">'Operating Model'!F113</f>
        <v>971.100994427505</v>
      </c>
    </row>
    <row r="21" customFormat="false" ht="14.25" hidden="false" customHeight="true" outlineLevel="0" collapsed="false">
      <c r="A21" s="9" t="s">
        <v>43</v>
      </c>
      <c r="B21" s="9"/>
    </row>
    <row r="22" customFormat="false" ht="14.25" hidden="false" customHeight="true" outlineLevel="0" collapsed="false">
      <c r="A22" s="6" t="s">
        <v>44</v>
      </c>
      <c r="B22" s="5" t="str">
        <f aca="false">IF(AND(SUM(Historical!E34:G34)=0,SUM(Historical!D36:G36)=0),"OK","CHECK")</f>
        <v>OK</v>
      </c>
    </row>
    <row r="23" customFormat="false" ht="14.25" hidden="false" customHeight="true" outlineLevel="0" collapsed="false">
      <c r="A23" s="6" t="s">
        <v>45</v>
      </c>
      <c r="B23" s="5" t="str">
        <f aca="false">IF(SUMPRODUCT(ABS('Operating Model'!B27:K27))=0,"OK","CHECK")</f>
        <v>OK</v>
      </c>
    </row>
    <row r="24" customFormat="false" ht="14.25" hidden="false" customHeight="true" outlineLevel="0" collapsed="false">
      <c r="A24" s="6" t="s">
        <v>46</v>
      </c>
      <c r="B24" s="5" t="str">
        <f aca="false">IF(AND('Operating Model'!B54=0,'Operating Model'!C54=0),"OK","CHECK")</f>
        <v>OK</v>
      </c>
    </row>
    <row r="25" customFormat="false" ht="14.25" hidden="false" customHeight="true" outlineLevel="0" collapsed="false">
      <c r="A25" s="6" t="s">
        <v>47</v>
      </c>
      <c r="B25" s="5" t="str">
        <f aca="false">IF(AND('Operating Model'!C119=0,'Operating Model'!C120=0),"OK","CHECK")</f>
        <v>OK</v>
      </c>
    </row>
    <row r="26" customFormat="false" ht="14.25" hidden="false" customHeight="true" outlineLevel="0" collapsed="false">
      <c r="A26" s="6" t="s">
        <v>48</v>
      </c>
      <c r="B26" s="5" t="str">
        <f aca="false">IF(Assumptions!B13&gt;Assumptions!B16,"OK","CHECK")</f>
        <v>OK</v>
      </c>
    </row>
    <row r="27" customFormat="false" ht="14.25" hidden="false" customHeight="true" outlineLevel="0" collapsed="false">
      <c r="A27" s="6" t="s">
        <v>49</v>
      </c>
      <c r="B27" s="5" t="str">
        <f aca="false">IF(Valuation!B60=0,"OK","CHECK")</f>
        <v>OK</v>
      </c>
    </row>
    <row r="29" customFormat="false" ht="14.25" hidden="false" customHeight="true" outlineLevel="0" collapsed="false">
      <c r="A29" s="9" t="s">
        <v>50</v>
      </c>
      <c r="B29" s="9"/>
    </row>
    <row r="30" customFormat="false" ht="14.25" hidden="false" customHeight="true" outlineLevel="0" collapsed="false">
      <c r="A30" s="5" t="s">
        <v>51</v>
      </c>
      <c r="B30" s="6" t="s">
        <v>52</v>
      </c>
    </row>
    <row r="31" customFormat="false" ht="14.25" hidden="false" customHeight="true" outlineLevel="0" collapsed="false">
      <c r="A31" s="5" t="s">
        <v>53</v>
      </c>
      <c r="B31" s="6" t="s">
        <v>54</v>
      </c>
    </row>
    <row r="32" customFormat="false" ht="14.25" hidden="false" customHeight="true" outlineLevel="0" collapsed="false">
      <c r="A32" s="5" t="s">
        <v>55</v>
      </c>
      <c r="B32" s="6" t="s">
        <v>56</v>
      </c>
    </row>
    <row r="33" customFormat="false" ht="14.25" hidden="false" customHeight="true" outlineLevel="0" collapsed="false">
      <c r="A33" s="5" t="s">
        <v>57</v>
      </c>
      <c r="B33" s="6" t="s">
        <v>58</v>
      </c>
    </row>
    <row r="34" customFormat="false" ht="14.25" hidden="false" customHeight="true" outlineLevel="0" collapsed="false">
      <c r="A34" s="5" t="s">
        <v>59</v>
      </c>
      <c r="B34" s="6" t="s">
        <v>60</v>
      </c>
    </row>
    <row r="35" customFormat="false" ht="14.25" hidden="false" customHeight="true" outlineLevel="0" collapsed="false">
      <c r="A35" s="5" t="s">
        <v>61</v>
      </c>
      <c r="B35" s="6" t="s">
        <v>62</v>
      </c>
    </row>
    <row r="37" customFormat="false" ht="14.25" hidden="false" customHeight="true" outlineLevel="0" collapsed="false">
      <c r="A37" s="9" t="s">
        <v>63</v>
      </c>
      <c r="B37" s="9"/>
    </row>
    <row r="38" customFormat="false" ht="14.25" hidden="false" customHeight="true" outlineLevel="0" collapsed="false">
      <c r="A38" s="16" t="s">
        <v>64</v>
      </c>
    </row>
    <row r="39" customFormat="false" ht="14.25" hidden="false" customHeight="true" outlineLevel="0" collapsed="false">
      <c r="A39" s="6" t="s">
        <v>65</v>
      </c>
    </row>
    <row r="40" customFormat="false" ht="14.25" hidden="false" customHeight="true" outlineLevel="0" collapsed="false">
      <c r="A40" s="17" t="s">
        <v>66</v>
      </c>
    </row>
    <row r="41" customFormat="false" ht="14.25" hidden="false" customHeight="true" outlineLevel="0" collapsed="false">
      <c r="A41" s="18" t="s">
        <v>67</v>
      </c>
    </row>
    <row r="42" customFormat="false" ht="14.25" hidden="false" customHeight="false" outlineLevel="0" collapsed="false">
      <c r="A42" s="19" t="s">
        <v>68</v>
      </c>
    </row>
    <row r="43" customFormat="false" ht="14.25" hidden="false" customHeight="true" outlineLevel="0" collapsed="false">
      <c r="A43" s="8" t="s">
        <v>69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6796875" defaultRowHeight="14.25" zeroHeight="false" outlineLevelRow="0" outlineLevelCol="0"/>
  <cols>
    <col collapsed="false" customWidth="true" hidden="false" outlineLevel="0" max="1" min="1" style="2" width="52"/>
    <col collapsed="false" customWidth="true" hidden="false" outlineLevel="0" max="2" min="2" style="2" width="16"/>
    <col collapsed="false" customWidth="true" hidden="false" outlineLevel="0" max="5" min="3" style="2" width="12"/>
    <col collapsed="false" customWidth="true" hidden="false" outlineLevel="0" max="6" min="6" style="2" width="110"/>
  </cols>
  <sheetData>
    <row r="1" customFormat="false" ht="15.75" hidden="false" customHeight="true" outlineLevel="0" collapsed="false">
      <c r="A1" s="20" t="s">
        <v>70</v>
      </c>
    </row>
    <row r="2" customFormat="false" ht="14.25" hidden="false" customHeight="true" outlineLevel="0" collapsed="false">
      <c r="A2" s="8" t="s">
        <v>71</v>
      </c>
    </row>
    <row r="3" customFormat="false" ht="14.25" hidden="false" customHeight="true" outlineLevel="0" collapsed="false">
      <c r="A3" s="2" t="s">
        <v>72</v>
      </c>
      <c r="B3" s="21" t="n">
        <v>46303</v>
      </c>
      <c r="F3" s="6" t="s">
        <v>73</v>
      </c>
    </row>
    <row r="4" customFormat="false" ht="14.25" hidden="false" customHeight="true" outlineLevel="0" collapsed="false">
      <c r="A4" s="2" t="s">
        <v>74</v>
      </c>
      <c r="B4" s="6" t="s">
        <v>75</v>
      </c>
      <c r="F4" s="6" t="s">
        <v>76</v>
      </c>
    </row>
    <row r="6" customFormat="false" ht="14.25" hidden="false" customHeight="true" outlineLevel="0" collapsed="false">
      <c r="A6" s="5" t="s">
        <v>77</v>
      </c>
    </row>
    <row r="7" customFormat="false" ht="14.25" hidden="false" customHeight="true" outlineLevel="0" collapsed="false">
      <c r="A7" s="2" t="s">
        <v>78</v>
      </c>
      <c r="B7" s="22" t="n">
        <v>0.067</v>
      </c>
      <c r="F7" s="6" t="s">
        <v>79</v>
      </c>
    </row>
    <row r="8" customFormat="false" ht="14.25" hidden="false" customHeight="true" outlineLevel="0" collapsed="false">
      <c r="A8" s="2" t="s">
        <v>80</v>
      </c>
      <c r="B8" s="22" t="n">
        <v>0.055</v>
      </c>
      <c r="F8" s="6" t="s">
        <v>81</v>
      </c>
    </row>
    <row r="9" customFormat="false" ht="14.25" hidden="false" customHeight="true" outlineLevel="0" collapsed="false">
      <c r="A9" s="2" t="s">
        <v>82</v>
      </c>
      <c r="B9" s="23" t="n">
        <v>1.2</v>
      </c>
      <c r="F9" s="6" t="s">
        <v>83</v>
      </c>
    </row>
    <row r="10" customFormat="false" ht="14.25" hidden="false" customHeight="true" outlineLevel="0" collapsed="false">
      <c r="A10" s="2" t="s">
        <v>84</v>
      </c>
      <c r="B10" s="24" t="n">
        <f aca="false">B7+B9*B8</f>
        <v>0.133</v>
      </c>
      <c r="F10" s="6" t="s">
        <v>85</v>
      </c>
    </row>
    <row r="11" customFormat="false" ht="14.25" hidden="false" customHeight="true" outlineLevel="0" collapsed="false">
      <c r="A11" s="2" t="s">
        <v>86</v>
      </c>
      <c r="B11" s="25" t="n">
        <v>0.09</v>
      </c>
      <c r="F11" s="6" t="s">
        <v>87</v>
      </c>
    </row>
    <row r="12" customFormat="false" ht="14.25" hidden="false" customHeight="true" outlineLevel="0" collapsed="false">
      <c r="A12" s="2" t="s">
        <v>88</v>
      </c>
      <c r="B12" s="25" t="n">
        <v>0.2517</v>
      </c>
      <c r="F12" s="6" t="s">
        <v>89</v>
      </c>
    </row>
    <row r="13" customFormat="false" ht="14.25" hidden="false" customHeight="true" outlineLevel="0" collapsed="false">
      <c r="A13" s="2" t="s">
        <v>40</v>
      </c>
      <c r="B13" s="26" t="n">
        <f aca="false">(1-B14)*B10+B14*B11*(1-B12)</f>
        <v>0.133</v>
      </c>
      <c r="F13" s="6" t="s">
        <v>90</v>
      </c>
    </row>
    <row r="14" customFormat="false" ht="14.25" hidden="false" customHeight="true" outlineLevel="0" collapsed="false">
      <c r="A14" s="6" t="s">
        <v>91</v>
      </c>
      <c r="B14" s="27" t="n">
        <v>0</v>
      </c>
      <c r="F14" s="6" t="s">
        <v>92</v>
      </c>
    </row>
    <row r="15" customFormat="false" ht="14.25" hidden="false" customHeight="true" outlineLevel="0" collapsed="false">
      <c r="A15" s="2" t="s">
        <v>93</v>
      </c>
    </row>
    <row r="16" customFormat="false" ht="14.25" hidden="false" customHeight="true" outlineLevel="0" collapsed="false">
      <c r="A16" s="2" t="s">
        <v>94</v>
      </c>
      <c r="B16" s="22" t="n">
        <v>0.05</v>
      </c>
      <c r="F16" s="6" t="s">
        <v>95</v>
      </c>
    </row>
    <row r="18" customFormat="false" ht="14.25" hidden="false" customHeight="true" outlineLevel="0" collapsed="false">
      <c r="A18" s="5" t="s">
        <v>96</v>
      </c>
    </row>
    <row r="19" customFormat="false" ht="14.25" hidden="false" customHeight="true" outlineLevel="0" collapsed="false">
      <c r="A19" s="6" t="s">
        <v>97</v>
      </c>
      <c r="B19" s="23" t="n">
        <v>316.8</v>
      </c>
      <c r="F19" s="6" t="s">
        <v>98</v>
      </c>
    </row>
    <row r="20" customFormat="false" ht="14.25" hidden="false" customHeight="true" outlineLevel="0" collapsed="false">
      <c r="A20" s="6" t="s">
        <v>99</v>
      </c>
      <c r="B20" s="23" t="n">
        <v>966.75</v>
      </c>
      <c r="F20" s="6" t="s">
        <v>100</v>
      </c>
    </row>
    <row r="21" customFormat="false" ht="14.25" hidden="false" customHeight="true" outlineLevel="0" collapsed="false">
      <c r="A21" s="6" t="s">
        <v>101</v>
      </c>
      <c r="B21" s="28" t="n">
        <f aca="false">B19*B20</f>
        <v>306266.4</v>
      </c>
      <c r="F21" s="6" t="s">
        <v>102</v>
      </c>
    </row>
    <row r="22" customFormat="false" ht="14.25" hidden="false" customHeight="true" outlineLevel="0" collapsed="false">
      <c r="A22" s="6" t="s">
        <v>103</v>
      </c>
      <c r="B22" s="29" t="n">
        <v>18288</v>
      </c>
      <c r="F22" s="6" t="s">
        <v>104</v>
      </c>
    </row>
    <row r="23" customFormat="false" ht="14.25" hidden="false" customHeight="true" outlineLevel="0" collapsed="false">
      <c r="A23" s="6" t="s">
        <v>105</v>
      </c>
      <c r="B23" s="29" t="n">
        <v>0</v>
      </c>
      <c r="F23" s="6" t="s">
        <v>106</v>
      </c>
    </row>
    <row r="24" customFormat="false" ht="14.25" hidden="false" customHeight="true" outlineLevel="0" collapsed="false">
      <c r="A24" s="6" t="s">
        <v>107</v>
      </c>
      <c r="B24" s="29" t="n">
        <v>447</v>
      </c>
      <c r="F24" s="6" t="s">
        <v>108</v>
      </c>
    </row>
    <row r="25" customFormat="false" ht="14.25" hidden="false" customHeight="true" outlineLevel="0" collapsed="false">
      <c r="A25" s="6" t="s">
        <v>109</v>
      </c>
      <c r="B25" s="21" t="n">
        <v>46203</v>
      </c>
      <c r="F25" s="6" t="s">
        <v>110</v>
      </c>
    </row>
    <row r="26" customFormat="false" ht="14.25" hidden="false" customHeight="true" outlineLevel="0" collapsed="false">
      <c r="A26" s="6" t="s">
        <v>111</v>
      </c>
      <c r="B26" s="21" t="n">
        <v>46477</v>
      </c>
      <c r="F26" s="6"/>
    </row>
    <row r="27" customFormat="false" ht="14.25" hidden="false" customHeight="true" outlineLevel="0" collapsed="false">
      <c r="A27" s="6" t="s">
        <v>112</v>
      </c>
      <c r="B27" s="30" t="n">
        <f aca="false">(B26-B25)/365</f>
        <v>0.750684931506849</v>
      </c>
      <c r="F27" s="6" t="s">
        <v>102</v>
      </c>
    </row>
    <row r="28" customFormat="false" ht="14.25" hidden="false" customHeight="true" outlineLevel="0" collapsed="false">
      <c r="A28" s="6" t="s">
        <v>113</v>
      </c>
      <c r="B28" s="31" t="n">
        <v>94.6</v>
      </c>
      <c r="F28" s="6" t="s">
        <v>114</v>
      </c>
    </row>
    <row r="30" customFormat="false" ht="14.25" hidden="false" customHeight="true" outlineLevel="0" collapsed="false">
      <c r="A30" s="5" t="s">
        <v>115</v>
      </c>
    </row>
    <row r="31" customFormat="false" ht="14.25" hidden="false" customHeight="true" outlineLevel="0" collapsed="false">
      <c r="A31" s="6" t="s">
        <v>116</v>
      </c>
      <c r="B31" s="32" t="n">
        <v>2</v>
      </c>
      <c r="F31" s="6" t="s">
        <v>117</v>
      </c>
    </row>
    <row r="32" customFormat="false" ht="14.25" hidden="false" customHeight="true" outlineLevel="0" collapsed="false">
      <c r="A32" s="6" t="s">
        <v>118</v>
      </c>
      <c r="B32" s="5" t="str">
        <f aca="false">CHOOSE(B31,"Bear","Base","Bull")</f>
        <v>Base</v>
      </c>
    </row>
    <row r="34" customFormat="false" ht="14.25" hidden="false" customHeight="true" outlineLevel="0" collapsed="false">
      <c r="A34" s="9" t="s">
        <v>119</v>
      </c>
      <c r="B34" s="9" t="s">
        <v>120</v>
      </c>
      <c r="C34" s="9" t="s">
        <v>121</v>
      </c>
      <c r="D34" s="9" t="s">
        <v>122</v>
      </c>
      <c r="E34" s="9" t="s">
        <v>123</v>
      </c>
      <c r="F34" s="9" t="s">
        <v>124</v>
      </c>
    </row>
    <row r="35" customFormat="false" ht="14.25" hidden="false" customHeight="true" outlineLevel="0" collapsed="false">
      <c r="A35" s="33" t="s">
        <v>125</v>
      </c>
    </row>
    <row r="36" customFormat="false" ht="14.25" hidden="false" customHeight="true" outlineLevel="0" collapsed="false">
      <c r="A36" s="6" t="s">
        <v>126</v>
      </c>
      <c r="B36" s="13" t="n">
        <f aca="false">CHOOSE($B$31,C36,D36,E36)</f>
        <v>0.2</v>
      </c>
      <c r="C36" s="27" t="n">
        <v>0.15</v>
      </c>
      <c r="D36" s="34" t="n">
        <v>0.2</v>
      </c>
      <c r="E36" s="27" t="n">
        <v>0.22</v>
      </c>
      <c r="F36" s="6" t="s">
        <v>127</v>
      </c>
    </row>
    <row r="37" customFormat="false" ht="14.25" hidden="false" customHeight="true" outlineLevel="0" collapsed="false">
      <c r="A37" s="6" t="s">
        <v>128</v>
      </c>
      <c r="B37" s="13" t="n">
        <f aca="false">CHOOSE($B$31,C37,D37,E37)</f>
        <v>0.08</v>
      </c>
      <c r="C37" s="27" t="n">
        <v>0.06</v>
      </c>
      <c r="D37" s="34" t="n">
        <v>0.08</v>
      </c>
      <c r="E37" s="27" t="n">
        <v>0.09</v>
      </c>
      <c r="F37" s="6" t="s">
        <v>129</v>
      </c>
    </row>
    <row r="38" customFormat="false" ht="14.25" hidden="false" customHeight="true" outlineLevel="0" collapsed="false">
      <c r="A38" s="6" t="s">
        <v>130</v>
      </c>
      <c r="B38" s="13" t="n">
        <f aca="false">CHOOSE($B$31,C38,D38,E38)</f>
        <v>0.06</v>
      </c>
      <c r="C38" s="27" t="n">
        <v>0.05</v>
      </c>
      <c r="D38" s="34" t="n">
        <v>0.06</v>
      </c>
      <c r="E38" s="27" t="n">
        <v>0.07</v>
      </c>
      <c r="F38" s="6" t="s">
        <v>131</v>
      </c>
    </row>
    <row r="39" customFormat="false" ht="14.25" hidden="false" customHeight="true" outlineLevel="0" collapsed="false">
      <c r="A39" s="6" t="s">
        <v>132</v>
      </c>
      <c r="B39" s="35" t="n">
        <f aca="false">CHOOSE($B$31,C39,D39,E39)</f>
        <v>3</v>
      </c>
      <c r="C39" s="36" t="n">
        <v>3</v>
      </c>
      <c r="D39" s="32" t="n">
        <v>3</v>
      </c>
      <c r="E39" s="36" t="n">
        <v>3</v>
      </c>
      <c r="F39" s="6" t="s">
        <v>133</v>
      </c>
    </row>
    <row r="40" customFormat="false" ht="14.25" hidden="false" customHeight="true" outlineLevel="0" collapsed="false">
      <c r="A40" s="6" t="s">
        <v>134</v>
      </c>
      <c r="B40" s="34" t="n">
        <v>0.325</v>
      </c>
      <c r="F40" s="6" t="s">
        <v>135</v>
      </c>
    </row>
    <row r="41" customFormat="false" ht="14.25" hidden="false" customHeight="true" outlineLevel="0" collapsed="false">
      <c r="A41" s="33" t="s">
        <v>136</v>
      </c>
    </row>
    <row r="42" customFormat="false" ht="14.25" hidden="false" customHeight="true" outlineLevel="0" collapsed="false">
      <c r="A42" s="6" t="s">
        <v>126</v>
      </c>
      <c r="B42" s="13" t="n">
        <f aca="false">CHOOSE($B$31,C42,D42,E42)</f>
        <v>0.7</v>
      </c>
      <c r="C42" s="27" t="n">
        <v>0.55</v>
      </c>
      <c r="D42" s="34" t="n">
        <v>0.7</v>
      </c>
      <c r="E42" s="27" t="n">
        <v>0.8</v>
      </c>
      <c r="F42" s="6" t="s">
        <v>137</v>
      </c>
    </row>
    <row r="43" customFormat="false" ht="14.25" hidden="false" customHeight="true" outlineLevel="0" collapsed="false">
      <c r="A43" s="6" t="s">
        <v>138</v>
      </c>
      <c r="B43" s="13" t="n">
        <f aca="false">CHOOSE($B$31,C43,D43,E43)</f>
        <v>0.06</v>
      </c>
      <c r="C43" s="27" t="n">
        <v>0.05</v>
      </c>
      <c r="D43" s="34" t="n">
        <v>0.06</v>
      </c>
      <c r="E43" s="27" t="n">
        <v>0.08</v>
      </c>
      <c r="F43" s="6" t="s">
        <v>139</v>
      </c>
    </row>
    <row r="44" customFormat="false" ht="14.25" hidden="false" customHeight="true" outlineLevel="0" collapsed="false">
      <c r="A44" s="6" t="s">
        <v>130</v>
      </c>
      <c r="B44" s="13" t="n">
        <f aca="false">CHOOSE($B$31,C44,D44,E44)</f>
        <v>0.05</v>
      </c>
      <c r="C44" s="27" t="n">
        <v>0.035</v>
      </c>
      <c r="D44" s="34" t="n">
        <v>0.05</v>
      </c>
      <c r="E44" s="27" t="n">
        <v>0.06</v>
      </c>
      <c r="F44" s="6" t="s">
        <v>140</v>
      </c>
    </row>
    <row r="45" customFormat="false" ht="14.25" hidden="false" customHeight="true" outlineLevel="0" collapsed="false">
      <c r="A45" s="6" t="s">
        <v>132</v>
      </c>
      <c r="B45" s="35" t="n">
        <f aca="false">CHOOSE($B$31,C45,D45,E45)</f>
        <v>5</v>
      </c>
      <c r="C45" s="36" t="n">
        <v>6</v>
      </c>
      <c r="D45" s="32" t="n">
        <v>5</v>
      </c>
      <c r="E45" s="36" t="n">
        <v>4</v>
      </c>
      <c r="F45" s="6" t="s">
        <v>141</v>
      </c>
    </row>
    <row r="46" customFormat="false" ht="14.25" hidden="false" customHeight="true" outlineLevel="0" collapsed="false">
      <c r="A46" s="6" t="s">
        <v>134</v>
      </c>
      <c r="B46" s="34" t="n">
        <v>0.92</v>
      </c>
      <c r="F46" s="6" t="s">
        <v>142</v>
      </c>
    </row>
    <row r="47" customFormat="false" ht="14.25" hidden="false" customHeight="true" outlineLevel="0" collapsed="false">
      <c r="A47" s="33" t="s">
        <v>143</v>
      </c>
    </row>
    <row r="48" customFormat="false" ht="14.25" hidden="false" customHeight="true" outlineLevel="0" collapsed="false">
      <c r="A48" s="6" t="s">
        <v>126</v>
      </c>
      <c r="B48" s="13" t="n">
        <f aca="false">CHOOSE($B$31,C48,D48,E48)</f>
        <v>0.4</v>
      </c>
      <c r="C48" s="27" t="n">
        <v>0.3</v>
      </c>
      <c r="D48" s="34" t="n">
        <v>0.4</v>
      </c>
      <c r="E48" s="27" t="n">
        <v>0.5</v>
      </c>
      <c r="F48" s="6" t="s">
        <v>144</v>
      </c>
    </row>
    <row r="49" customFormat="false" ht="14.25" hidden="false" customHeight="true" outlineLevel="0" collapsed="false">
      <c r="A49" s="6" t="s">
        <v>138</v>
      </c>
      <c r="B49" s="13" t="n">
        <f aca="false">CHOOSE($B$31,C49,D49,E49)</f>
        <v>0.07</v>
      </c>
      <c r="C49" s="27" t="n">
        <v>0.05</v>
      </c>
      <c r="D49" s="34" t="n">
        <v>0.07</v>
      </c>
      <c r="E49" s="27" t="n">
        <v>0.08</v>
      </c>
      <c r="F49" s="6" t="s">
        <v>139</v>
      </c>
    </row>
    <row r="50" customFormat="false" ht="14.25" hidden="false" customHeight="true" outlineLevel="0" collapsed="false">
      <c r="A50" s="6" t="s">
        <v>130</v>
      </c>
      <c r="B50" s="13" t="n">
        <f aca="false">CHOOSE($B$31,C50,D50,E50)</f>
        <v>0.04</v>
      </c>
      <c r="C50" s="27" t="n">
        <v>0.01</v>
      </c>
      <c r="D50" s="34" t="n">
        <v>0.04</v>
      </c>
      <c r="E50" s="27" t="n">
        <v>0.06</v>
      </c>
      <c r="F50" s="6" t="s">
        <v>145</v>
      </c>
    </row>
    <row r="51" customFormat="false" ht="14.25" hidden="false" customHeight="true" outlineLevel="0" collapsed="false">
      <c r="A51" s="6" t="s">
        <v>132</v>
      </c>
      <c r="B51" s="35" t="n">
        <f aca="false">CHOOSE($B$31,C51,D51,E51)</f>
        <v>5</v>
      </c>
      <c r="C51" s="36" t="n">
        <v>6</v>
      </c>
      <c r="D51" s="32" t="n">
        <v>5</v>
      </c>
      <c r="E51" s="36" t="n">
        <v>4</v>
      </c>
      <c r="F51" s="6" t="s">
        <v>139</v>
      </c>
    </row>
    <row r="52" customFormat="false" ht="14.25" hidden="false" customHeight="true" outlineLevel="0" collapsed="false">
      <c r="A52" s="6" t="s">
        <v>134</v>
      </c>
      <c r="B52" s="34" t="n">
        <v>0.105</v>
      </c>
      <c r="F52" s="6" t="s">
        <v>146</v>
      </c>
    </row>
    <row r="53" customFormat="false" ht="14.25" hidden="false" customHeight="true" outlineLevel="0" collapsed="false">
      <c r="A53" s="33" t="s">
        <v>147</v>
      </c>
    </row>
    <row r="54" customFormat="false" ht="14.25" hidden="false" customHeight="true" outlineLevel="0" collapsed="false">
      <c r="A54" s="6" t="s">
        <v>148</v>
      </c>
      <c r="B54" s="28" t="n">
        <f aca="false">CHOOSE($B$31,C54,D54,E54)</f>
        <v>4400</v>
      </c>
      <c r="C54" s="29" t="n">
        <v>4100</v>
      </c>
      <c r="D54" s="37" t="n">
        <v>4400</v>
      </c>
      <c r="E54" s="29" t="n">
        <v>4700</v>
      </c>
      <c r="F54" s="6" t="s">
        <v>149</v>
      </c>
    </row>
    <row r="55" customFormat="false" ht="14.25" hidden="false" customHeight="true" outlineLevel="0" collapsed="false">
      <c r="A55" s="6" t="s">
        <v>150</v>
      </c>
      <c r="B55" s="13" t="n">
        <f aca="false">CHOOSE($B$31,C55,D55,E55)</f>
        <v>0.22</v>
      </c>
      <c r="C55" s="27" t="n">
        <v>0.15</v>
      </c>
      <c r="D55" s="34" t="n">
        <v>0.22</v>
      </c>
      <c r="E55" s="27" t="n">
        <v>0.28</v>
      </c>
      <c r="F55" s="6" t="s">
        <v>151</v>
      </c>
    </row>
    <row r="56" customFormat="false" ht="14.25" hidden="false" customHeight="true" outlineLevel="0" collapsed="false">
      <c r="A56" s="6" t="s">
        <v>152</v>
      </c>
      <c r="B56" s="13" t="n">
        <f aca="false">CHOOSE($B$31,C56,D56,E56)</f>
        <v>0.07</v>
      </c>
      <c r="C56" s="27" t="n">
        <v>0.05</v>
      </c>
      <c r="D56" s="34" t="n">
        <v>0.07</v>
      </c>
      <c r="E56" s="27" t="n">
        <v>0.08</v>
      </c>
      <c r="F56" s="6" t="s">
        <v>139</v>
      </c>
    </row>
    <row r="57" customFormat="false" ht="14.25" hidden="false" customHeight="true" outlineLevel="0" collapsed="false">
      <c r="A57" s="6" t="s">
        <v>153</v>
      </c>
      <c r="B57" s="13" t="n">
        <f aca="false">CHOOSE($B$31,C57,D57,E57)</f>
        <v>0.005</v>
      </c>
      <c r="C57" s="27" t="n">
        <v>0.003</v>
      </c>
      <c r="D57" s="34" t="n">
        <v>0.005</v>
      </c>
      <c r="E57" s="27" t="n">
        <v>0.008</v>
      </c>
      <c r="F57" s="6" t="s">
        <v>154</v>
      </c>
    </row>
    <row r="58" customFormat="false" ht="14.25" hidden="false" customHeight="true" outlineLevel="0" collapsed="false">
      <c r="A58" s="6" t="s">
        <v>155</v>
      </c>
      <c r="B58" s="13" t="n">
        <f aca="false">CHOOSE($B$31,C58,D58,E58)</f>
        <v>0.015</v>
      </c>
      <c r="C58" s="27" t="n">
        <v>0.005</v>
      </c>
      <c r="D58" s="34" t="n">
        <v>0.015</v>
      </c>
      <c r="E58" s="27" t="n">
        <v>0.025</v>
      </c>
      <c r="F58" s="6" t="s">
        <v>156</v>
      </c>
    </row>
    <row r="59" customFormat="false" ht="14.25" hidden="false" customHeight="true" outlineLevel="0" collapsed="false">
      <c r="A59" s="6" t="s">
        <v>132</v>
      </c>
      <c r="B59" s="35" t="n">
        <f aca="false">CHOOSE($B$31,C59,D59,E59)</f>
        <v>5</v>
      </c>
      <c r="C59" s="36" t="n">
        <v>5</v>
      </c>
      <c r="D59" s="32" t="n">
        <v>5</v>
      </c>
      <c r="E59" s="36" t="n">
        <v>5</v>
      </c>
      <c r="F59" s="6" t="s">
        <v>139</v>
      </c>
    </row>
    <row r="60" customFormat="false" ht="14.25" hidden="false" customHeight="true" outlineLevel="0" collapsed="false">
      <c r="A60" s="33" t="s">
        <v>157</v>
      </c>
    </row>
    <row r="61" customFormat="false" ht="14.25" hidden="false" customHeight="true" outlineLevel="0" collapsed="false">
      <c r="A61" s="6" t="s">
        <v>158</v>
      </c>
      <c r="B61" s="24" t="n">
        <f aca="false">CHOOSE($B$31,C61,D61,E61)</f>
        <v>0.0025</v>
      </c>
      <c r="C61" s="25" t="n">
        <v>0.0035</v>
      </c>
      <c r="D61" s="22" t="n">
        <v>0.0025</v>
      </c>
      <c r="E61" s="25" t="n">
        <v>0.0015</v>
      </c>
      <c r="F61" s="6" t="s">
        <v>159</v>
      </c>
    </row>
    <row r="62" customFormat="false" ht="14.25" hidden="false" customHeight="true" outlineLevel="0" collapsed="false">
      <c r="A62" s="6" t="s">
        <v>160</v>
      </c>
      <c r="B62" s="22" t="n">
        <v>0.003</v>
      </c>
      <c r="F62" s="6" t="s">
        <v>161</v>
      </c>
    </row>
    <row r="63" customFormat="false" ht="14.25" hidden="false" customHeight="true" outlineLevel="0" collapsed="false">
      <c r="A63" s="33" t="s">
        <v>162</v>
      </c>
    </row>
    <row r="64" customFormat="false" ht="14.25" hidden="false" customHeight="true" outlineLevel="0" collapsed="false">
      <c r="A64" s="6" t="s">
        <v>163</v>
      </c>
      <c r="B64" s="22" t="n">
        <v>0.0085</v>
      </c>
      <c r="F64" s="6" t="s">
        <v>164</v>
      </c>
    </row>
    <row r="65" customFormat="false" ht="14.25" hidden="false" customHeight="true" outlineLevel="0" collapsed="false">
      <c r="A65" s="6" t="s">
        <v>165</v>
      </c>
      <c r="B65" s="22" t="n">
        <v>0.005</v>
      </c>
      <c r="F65" s="6" t="s">
        <v>166</v>
      </c>
    </row>
    <row r="66" customFormat="false" ht="14.25" hidden="false" customHeight="true" outlineLevel="0" collapsed="false">
      <c r="A66" s="6" t="s">
        <v>167</v>
      </c>
      <c r="B66" s="22" t="n">
        <v>0.018</v>
      </c>
      <c r="F66" s="6" t="s">
        <v>168</v>
      </c>
    </row>
    <row r="67" customFormat="false" ht="14.25" hidden="false" customHeight="true" outlineLevel="0" collapsed="false">
      <c r="A67" s="6" t="s">
        <v>169</v>
      </c>
      <c r="B67" s="22" t="n">
        <v>0.012</v>
      </c>
      <c r="F67" s="6" t="s">
        <v>170</v>
      </c>
    </row>
    <row r="68" customFormat="false" ht="14.25" hidden="false" customHeight="true" outlineLevel="0" collapsed="false">
      <c r="A68" s="6" t="s">
        <v>171</v>
      </c>
      <c r="B68" s="22" t="n">
        <v>0.012</v>
      </c>
      <c r="F68" s="6" t="s">
        <v>172</v>
      </c>
    </row>
    <row r="69" customFormat="false" ht="14.25" hidden="false" customHeight="true" outlineLevel="0" collapsed="false">
      <c r="A69" s="6" t="s">
        <v>173</v>
      </c>
      <c r="B69" s="22" t="n">
        <v>0.011</v>
      </c>
      <c r="F69" s="6" t="s">
        <v>174</v>
      </c>
    </row>
    <row r="70" customFormat="false" ht="14.25" hidden="false" customHeight="true" outlineLevel="0" collapsed="false">
      <c r="A70" s="6" t="s">
        <v>175</v>
      </c>
      <c r="B70" s="22" t="n">
        <v>0.01</v>
      </c>
      <c r="F70" s="6" t="s">
        <v>176</v>
      </c>
    </row>
    <row r="72" customFormat="false" ht="14.25" hidden="false" customHeight="true" outlineLevel="0" collapsed="false">
      <c r="A72" s="9" t="s">
        <v>177</v>
      </c>
      <c r="B72" s="9"/>
      <c r="C72" s="9"/>
      <c r="D72" s="9"/>
      <c r="E72" s="9"/>
      <c r="F72" s="9"/>
    </row>
    <row r="73" customFormat="false" ht="14.25" hidden="false" customHeight="true" outlineLevel="0" collapsed="false">
      <c r="A73" s="6" t="s">
        <v>178</v>
      </c>
      <c r="B73" s="38" t="n">
        <v>35</v>
      </c>
      <c r="F73" s="6" t="s">
        <v>179</v>
      </c>
    </row>
    <row r="74" customFormat="false" ht="14.25" hidden="false" customHeight="true" outlineLevel="0" collapsed="false">
      <c r="A74" s="6" t="s">
        <v>180</v>
      </c>
      <c r="B74" s="38" t="n">
        <v>25</v>
      </c>
      <c r="F74" s="6" t="s">
        <v>181</v>
      </c>
    </row>
    <row r="75" customFormat="false" ht="14.25" hidden="false" customHeight="true" outlineLevel="0" collapsed="false">
      <c r="A75" s="6" t="s">
        <v>182</v>
      </c>
      <c r="B75" s="38" t="n">
        <v>20</v>
      </c>
      <c r="F75" s="6" t="s">
        <v>183</v>
      </c>
    </row>
    <row r="76" customFormat="false" ht="14.25" hidden="false" customHeight="true" outlineLevel="0" collapsed="false">
      <c r="A76" s="6" t="s">
        <v>184</v>
      </c>
      <c r="B76" s="38" t="n">
        <v>0.4</v>
      </c>
      <c r="F76" s="6" t="s">
        <v>185</v>
      </c>
    </row>
    <row r="77" customFormat="false" ht="14.25" hidden="false" customHeight="true" outlineLevel="0" collapsed="false">
      <c r="A77" s="6" t="s">
        <v>186</v>
      </c>
      <c r="B77" s="38" t="n">
        <v>10</v>
      </c>
      <c r="F77" s="6" t="s">
        <v>187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2" width="52"/>
    <col collapsed="false" customWidth="true" hidden="false" outlineLevel="0" max="7" min="2" style="2" width="26"/>
  </cols>
  <sheetData>
    <row r="1" customFormat="false" ht="14.25" hidden="false" customHeight="true" outlineLevel="0" collapsed="false">
      <c r="A1" s="6" t="s">
        <v>188</v>
      </c>
    </row>
    <row r="2" customFormat="false" ht="14.25" hidden="false" customHeight="true" outlineLevel="0" collapsed="false">
      <c r="A2" s="6" t="s">
        <v>189</v>
      </c>
    </row>
    <row r="3" customFormat="false" ht="14.25" hidden="false" customHeight="true" outlineLevel="0" collapsed="false">
      <c r="A3" s="6" t="s">
        <v>190</v>
      </c>
      <c r="B3" s="6" t="s">
        <v>191</v>
      </c>
      <c r="C3" s="6" t="s">
        <v>192</v>
      </c>
      <c r="D3" s="6" t="s">
        <v>193</v>
      </c>
      <c r="E3" s="6" t="s">
        <v>194</v>
      </c>
      <c r="F3" s="6" t="s">
        <v>195</v>
      </c>
      <c r="G3" s="6" t="s">
        <v>196</v>
      </c>
    </row>
    <row r="4" customFormat="false" ht="105" hidden="false" customHeight="true" outlineLevel="0" collapsed="false">
      <c r="A4" s="6" t="s">
        <v>197</v>
      </c>
      <c r="B4" s="39" t="s">
        <v>198</v>
      </c>
      <c r="C4" s="39" t="s">
        <v>199</v>
      </c>
      <c r="D4" s="39" t="s">
        <v>200</v>
      </c>
      <c r="E4" s="39" t="s">
        <v>201</v>
      </c>
      <c r="F4" s="39" t="s">
        <v>202</v>
      </c>
      <c r="G4" s="39" t="s">
        <v>203</v>
      </c>
    </row>
    <row r="6" customFormat="false" ht="14.25" hidden="false" customHeight="true" outlineLevel="0" collapsed="false">
      <c r="A6" s="6" t="s">
        <v>204</v>
      </c>
      <c r="B6" s="29" t="n">
        <v>1994</v>
      </c>
      <c r="C6" s="29" t="n">
        <v>4192</v>
      </c>
      <c r="D6" s="29" t="n">
        <v>7079</v>
      </c>
      <c r="E6" s="29" t="n">
        <v>12114</v>
      </c>
      <c r="F6" s="29" t="n">
        <v>20243</v>
      </c>
      <c r="G6" s="29" t="n">
        <v>54364</v>
      </c>
    </row>
    <row r="7" customFormat="false" ht="14.25" hidden="false" customHeight="true" outlineLevel="0" collapsed="false">
      <c r="A7" s="6" t="s">
        <v>205</v>
      </c>
      <c r="B7" s="40"/>
      <c r="C7" s="40"/>
      <c r="D7" s="29" t="n">
        <v>682</v>
      </c>
      <c r="E7" s="29" t="n">
        <v>847</v>
      </c>
      <c r="F7" s="29" t="n">
        <v>1077</v>
      </c>
      <c r="G7" s="29" t="n">
        <v>1396</v>
      </c>
    </row>
    <row r="8" customFormat="false" ht="14.25" hidden="false" customHeight="true" outlineLevel="0" collapsed="false">
      <c r="A8" s="6" t="s">
        <v>206</v>
      </c>
      <c r="D8" s="28" t="n">
        <f aca="false">D6+D7</f>
        <v>7761</v>
      </c>
      <c r="E8" s="28" t="n">
        <f aca="false">E6+E7</f>
        <v>12961</v>
      </c>
      <c r="F8" s="28" t="n">
        <f aca="false">F6+F7</f>
        <v>21320</v>
      </c>
      <c r="G8" s="28" t="n">
        <f aca="false">G6+G7</f>
        <v>55760</v>
      </c>
    </row>
    <row r="10" customFormat="false" ht="14.25" hidden="false" customHeight="true" outlineLevel="0" collapsed="false">
      <c r="A10" s="6" t="s">
        <v>207</v>
      </c>
      <c r="B10" s="40"/>
      <c r="C10" s="40"/>
      <c r="D10" s="29" t="n">
        <v>0</v>
      </c>
      <c r="E10" s="29" t="n">
        <v>0</v>
      </c>
      <c r="F10" s="29" t="n">
        <v>0</v>
      </c>
      <c r="G10" s="29" t="n">
        <v>54</v>
      </c>
    </row>
    <row r="11" customFormat="false" ht="14.25" hidden="false" customHeight="true" outlineLevel="0" collapsed="false">
      <c r="A11" s="6" t="s">
        <v>208</v>
      </c>
      <c r="B11" s="40"/>
      <c r="C11" s="40"/>
      <c r="D11" s="29" t="n">
        <v>1438</v>
      </c>
      <c r="E11" s="29" t="n">
        <v>2887</v>
      </c>
      <c r="F11" s="29" t="n">
        <v>5653</v>
      </c>
      <c r="G11" s="29" t="n">
        <v>32115</v>
      </c>
    </row>
    <row r="12" customFormat="false" ht="14.25" hidden="false" customHeight="true" outlineLevel="0" collapsed="false">
      <c r="A12" s="6" t="s">
        <v>209</v>
      </c>
      <c r="B12" s="40"/>
      <c r="C12" s="40"/>
      <c r="D12" s="29" t="n">
        <v>-43</v>
      </c>
      <c r="E12" s="29" t="n">
        <v>-5</v>
      </c>
      <c r="F12" s="29" t="n">
        <v>-88</v>
      </c>
      <c r="G12" s="29" t="n">
        <v>-2002</v>
      </c>
    </row>
    <row r="13" customFormat="false" ht="14.25" hidden="false" customHeight="true" outlineLevel="0" collapsed="false">
      <c r="A13" s="6" t="s">
        <v>210</v>
      </c>
      <c r="B13" s="40"/>
      <c r="C13" s="40"/>
      <c r="D13" s="29" t="n">
        <v>1465</v>
      </c>
      <c r="E13" s="29" t="n">
        <v>1659</v>
      </c>
      <c r="F13" s="29" t="n">
        <v>2558</v>
      </c>
      <c r="G13" s="29" t="n">
        <v>3536</v>
      </c>
    </row>
    <row r="14" customFormat="false" ht="14.25" hidden="false" customHeight="true" outlineLevel="0" collapsed="false">
      <c r="A14" s="6" t="s">
        <v>211</v>
      </c>
      <c r="B14" s="40"/>
      <c r="C14" s="40"/>
      <c r="D14" s="29" t="n">
        <v>5429</v>
      </c>
      <c r="E14" s="29" t="n">
        <v>7531</v>
      </c>
      <c r="F14" s="28" t="n">
        <f aca="false">SUM(F28:F30)</f>
        <v>11483</v>
      </c>
      <c r="G14" s="28" t="n">
        <f aca="false">SUM(G28:G30)</f>
        <v>19453</v>
      </c>
    </row>
    <row r="15" customFormat="false" ht="14.25" hidden="false" customHeight="true" outlineLevel="0" collapsed="false">
      <c r="A15" s="6" t="s">
        <v>212</v>
      </c>
      <c r="D15" s="28" t="n">
        <f aca="false">SUM(D10:D14)</f>
        <v>8289</v>
      </c>
      <c r="E15" s="28" t="n">
        <f aca="false">SUM(E10:E14)</f>
        <v>12072</v>
      </c>
      <c r="F15" s="28" t="n">
        <f aca="false">SUM(F10:F14)</f>
        <v>19606</v>
      </c>
      <c r="G15" s="28" t="n">
        <f aca="false">SUM(G10:G14)</f>
        <v>53156</v>
      </c>
    </row>
    <row r="17" customFormat="false" ht="14.25" hidden="false" customHeight="true" outlineLevel="0" collapsed="false">
      <c r="A17" s="6" t="s">
        <v>213</v>
      </c>
      <c r="D17" s="28" t="n">
        <f aca="false">D6-D15</f>
        <v>-1210</v>
      </c>
      <c r="E17" s="28" t="n">
        <f aca="false">E6-E15</f>
        <v>42</v>
      </c>
      <c r="F17" s="28" t="n">
        <f aca="false">F6-F15</f>
        <v>637</v>
      </c>
      <c r="G17" s="28" t="n">
        <f aca="false">G6-G15</f>
        <v>1208</v>
      </c>
    </row>
    <row r="18" customFormat="false" ht="14.25" hidden="false" customHeight="true" outlineLevel="0" collapsed="false">
      <c r="A18" s="6" t="s">
        <v>214</v>
      </c>
      <c r="B18" s="40"/>
      <c r="C18" s="40"/>
      <c r="D18" s="29" t="n">
        <v>437</v>
      </c>
      <c r="E18" s="29" t="n">
        <v>526</v>
      </c>
      <c r="F18" s="29" t="n">
        <v>863</v>
      </c>
      <c r="G18" s="29" t="n">
        <v>1597</v>
      </c>
    </row>
    <row r="19" customFormat="false" ht="14.25" hidden="false" customHeight="true" outlineLevel="0" collapsed="false">
      <c r="A19" s="6" t="s">
        <v>215</v>
      </c>
      <c r="B19" s="40"/>
      <c r="C19" s="40"/>
      <c r="D19" s="29" t="n">
        <v>49</v>
      </c>
      <c r="E19" s="29" t="n">
        <v>72</v>
      </c>
      <c r="F19" s="29" t="n">
        <v>154</v>
      </c>
      <c r="G19" s="29" t="n">
        <v>392</v>
      </c>
    </row>
    <row r="20" customFormat="false" ht="14.25" hidden="false" customHeight="true" outlineLevel="0" collapsed="false">
      <c r="A20" s="6" t="s">
        <v>216</v>
      </c>
      <c r="D20" s="28" t="n">
        <f aca="false">D8-D15-D18-D19</f>
        <v>-1014</v>
      </c>
      <c r="E20" s="28" t="n">
        <f aca="false">E8-E15-E18-E19</f>
        <v>291</v>
      </c>
      <c r="F20" s="28" t="n">
        <f aca="false">F8-F15-F18-F19</f>
        <v>697</v>
      </c>
      <c r="G20" s="28" t="n">
        <f aca="false">G8-G15-G18-G19</f>
        <v>615</v>
      </c>
    </row>
    <row r="21" customFormat="false" ht="14.25" hidden="false" customHeight="true" outlineLevel="0" collapsed="false">
      <c r="A21" s="6" t="s">
        <v>217</v>
      </c>
      <c r="B21" s="40"/>
      <c r="C21" s="40"/>
      <c r="D21" s="28" t="n">
        <f aca="false">D20-D35</f>
        <v>-43</v>
      </c>
      <c r="E21" s="28" t="n">
        <f aca="false">E20-E35</f>
        <v>-60</v>
      </c>
      <c r="F21" s="29" t="n">
        <f aca="false">231-61</f>
        <v>170</v>
      </c>
      <c r="G21" s="29" t="n">
        <f aca="false">319-70</f>
        <v>249</v>
      </c>
    </row>
    <row r="22" customFormat="false" ht="14.25" hidden="false" customHeight="true" outlineLevel="0" collapsed="false">
      <c r="A22" s="6" t="s">
        <v>218</v>
      </c>
      <c r="D22" s="28" t="n">
        <f aca="false">D20-D21</f>
        <v>-971</v>
      </c>
      <c r="E22" s="28" t="n">
        <f aca="false">E20-E21</f>
        <v>351</v>
      </c>
      <c r="F22" s="28" t="n">
        <f aca="false">F20-F21</f>
        <v>527</v>
      </c>
      <c r="G22" s="28" t="n">
        <f aca="false">G20-G21</f>
        <v>366</v>
      </c>
    </row>
    <row r="24" customFormat="false" ht="14.25" hidden="false" customHeight="true" outlineLevel="0" collapsed="false">
      <c r="A24" s="6" t="s">
        <v>219</v>
      </c>
      <c r="D24" s="13" t="n">
        <f aca="false">D17/D6</f>
        <v>-0.170928097188868</v>
      </c>
      <c r="E24" s="13" t="n">
        <f aca="false">E17/E6</f>
        <v>0.00346706290242694</v>
      </c>
      <c r="F24" s="13" t="n">
        <f aca="false">F17/F6</f>
        <v>0.0314676678357951</v>
      </c>
      <c r="G24" s="13" t="n">
        <f aca="false">G17/G6</f>
        <v>0.0222205871532632</v>
      </c>
    </row>
    <row r="25" customFormat="false" ht="14.25" hidden="false" customHeight="true" outlineLevel="0" collapsed="false">
      <c r="A25" s="6" t="s">
        <v>220</v>
      </c>
      <c r="C25" s="13" t="n">
        <f aca="false">C6/B6-1</f>
        <v>1.10230692076229</v>
      </c>
      <c r="D25" s="13" t="n">
        <f aca="false">D6/C6-1</f>
        <v>0.688692748091603</v>
      </c>
      <c r="E25" s="13" t="n">
        <f aca="false">E6/D6-1</f>
        <v>0.711258652352027</v>
      </c>
      <c r="F25" s="13" t="n">
        <f aca="false">F6/E6-1</f>
        <v>0.671041769853063</v>
      </c>
      <c r="G25" s="13" t="n">
        <f aca="false">G6/F6-1</f>
        <v>1.68557032060465</v>
      </c>
    </row>
    <row r="27" customFormat="false" ht="14.25" hidden="false" customHeight="true" outlineLevel="0" collapsed="false">
      <c r="A27" s="6" t="s">
        <v>221</v>
      </c>
    </row>
    <row r="28" customFormat="false" ht="14.25" hidden="false" customHeight="true" outlineLevel="0" collapsed="false">
      <c r="A28" s="6" t="s">
        <v>222</v>
      </c>
      <c r="F28" s="29" t="n">
        <v>1972</v>
      </c>
      <c r="G28" s="29" t="n">
        <v>3350</v>
      </c>
    </row>
    <row r="29" customFormat="false" ht="14.25" hidden="false" customHeight="true" outlineLevel="0" collapsed="false">
      <c r="A29" s="6" t="s">
        <v>223</v>
      </c>
      <c r="E29" s="29" t="n">
        <v>3915</v>
      </c>
      <c r="F29" s="29" t="n">
        <v>5728</v>
      </c>
      <c r="G29" s="29" t="n">
        <v>9065</v>
      </c>
    </row>
    <row r="30" customFormat="false" ht="14.25" hidden="false" customHeight="true" outlineLevel="0" collapsed="false">
      <c r="A30" s="6" t="s">
        <v>224</v>
      </c>
      <c r="F30" s="29" t="n">
        <v>3783</v>
      </c>
      <c r="G30" s="29" t="n">
        <v>7038</v>
      </c>
    </row>
    <row r="32" customFormat="false" ht="14.25" hidden="false" customHeight="true" outlineLevel="0" collapsed="false">
      <c r="A32" s="6" t="s">
        <v>225</v>
      </c>
    </row>
    <row r="33" customFormat="false" ht="14.25" hidden="false" customHeight="true" outlineLevel="0" collapsed="false">
      <c r="A33" s="6" t="s">
        <v>226</v>
      </c>
      <c r="E33" s="29" t="n">
        <v>291</v>
      </c>
      <c r="F33" s="29" t="n">
        <v>697</v>
      </c>
      <c r="G33" s="29" t="n">
        <v>615</v>
      </c>
    </row>
    <row r="34" customFormat="false" ht="14.25" hidden="false" customHeight="true" outlineLevel="0" collapsed="false">
      <c r="A34" s="6" t="s">
        <v>227</v>
      </c>
      <c r="E34" s="28" t="n">
        <f aca="false">E20-E33</f>
        <v>0</v>
      </c>
      <c r="F34" s="28" t="n">
        <f aca="false">F20-F33</f>
        <v>0</v>
      </c>
      <c r="G34" s="28" t="n">
        <f aca="false">G20-G33</f>
        <v>0</v>
      </c>
    </row>
    <row r="35" customFormat="false" ht="14.25" hidden="false" customHeight="true" outlineLevel="0" collapsed="false">
      <c r="A35" s="6" t="s">
        <v>228</v>
      </c>
      <c r="D35" s="29" t="n">
        <v>-971</v>
      </c>
      <c r="E35" s="29" t="n">
        <v>351</v>
      </c>
      <c r="F35" s="29" t="n">
        <v>527</v>
      </c>
      <c r="G35" s="29" t="n">
        <v>366</v>
      </c>
    </row>
    <row r="36" customFormat="false" ht="14.25" hidden="false" customHeight="true" outlineLevel="0" collapsed="false">
      <c r="A36" s="6" t="s">
        <v>227</v>
      </c>
      <c r="D36" s="28" t="n">
        <f aca="false">D22-D35</f>
        <v>0</v>
      </c>
      <c r="E36" s="28" t="n">
        <f aca="false">E22-E35</f>
        <v>0</v>
      </c>
      <c r="F36" s="28" t="n">
        <f aca="false">F22-F35</f>
        <v>0</v>
      </c>
      <c r="G36" s="28" t="n">
        <f aca="false">G22-G35</f>
        <v>0</v>
      </c>
    </row>
    <row r="38" customFormat="false" ht="14.25" hidden="false" customHeight="true" outlineLevel="0" collapsed="false">
      <c r="A38" s="6" t="s">
        <v>229</v>
      </c>
    </row>
    <row r="39" customFormat="false" ht="14.25" hidden="false" customHeight="true" outlineLevel="0" collapsed="false">
      <c r="A39" s="6" t="s">
        <v>230</v>
      </c>
    </row>
    <row r="40" customFormat="false" ht="14.25" hidden="false" customHeight="true" outlineLevel="0" collapsed="false">
      <c r="A40" s="6" t="s">
        <v>231</v>
      </c>
    </row>
    <row r="41" customFormat="false" ht="14.25" hidden="false" customHeight="true" outlineLevel="0" collapsed="false">
      <c r="A41" s="6" t="s">
        <v>232</v>
      </c>
    </row>
    <row r="42" customFormat="false" ht="14.25" hidden="false" customHeight="true" outlineLevel="0" collapsed="false">
      <c r="A42" s="6" t="s">
        <v>233</v>
      </c>
    </row>
    <row r="43" customFormat="false" ht="14.25" hidden="false" customHeight="true" outlineLevel="0" collapsed="false">
      <c r="A43" s="6" t="s">
        <v>234</v>
      </c>
    </row>
    <row r="44" customFormat="false" ht="14.25" hidden="false" customHeight="true" outlineLevel="0" collapsed="false">
      <c r="A44" s="6" t="s">
        <v>235</v>
      </c>
    </row>
    <row r="45" customFormat="false" ht="14.25" hidden="false" customHeight="true" outlineLevel="0" collapsed="false">
      <c r="A45" s="6" t="s">
        <v>236</v>
      </c>
    </row>
    <row r="46" customFormat="false" ht="14.25" hidden="false" customHeight="true" outlineLevel="0" collapsed="false">
      <c r="A46" s="6" t="s">
        <v>237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2" width="56"/>
    <col collapsed="false" customWidth="true" hidden="false" outlineLevel="0" max="13" min="2" style="2" width="11.5"/>
    <col collapsed="false" customWidth="true" hidden="false" outlineLevel="0" max="14" min="14" style="2" width="70"/>
  </cols>
  <sheetData>
    <row r="1" customFormat="false" ht="15.75" hidden="false" customHeight="true" outlineLevel="0" collapsed="false">
      <c r="A1" s="20" t="s">
        <v>238</v>
      </c>
    </row>
    <row r="2" customFormat="false" ht="14.25" hidden="false" customHeight="true" outlineLevel="0" collapsed="false">
      <c r="A2" s="8" t="s">
        <v>239</v>
      </c>
    </row>
    <row r="3" customFormat="false" ht="14.25" hidden="false" customHeight="true" outlineLevel="0" collapsed="false">
      <c r="A3" s="8" t="s">
        <v>240</v>
      </c>
    </row>
    <row r="4" customFormat="false" ht="14.25" hidden="false" customHeight="true" outlineLevel="0" collapsed="false">
      <c r="A4" s="9" t="s">
        <v>241</v>
      </c>
      <c r="B4" s="9" t="s">
        <v>242</v>
      </c>
      <c r="C4" s="9" t="s">
        <v>243</v>
      </c>
      <c r="D4" s="9" t="s">
        <v>244</v>
      </c>
      <c r="E4" s="9" t="s">
        <v>245</v>
      </c>
      <c r="F4" s="9" t="s">
        <v>246</v>
      </c>
      <c r="G4" s="9" t="s">
        <v>247</v>
      </c>
      <c r="H4" s="9" t="s">
        <v>248</v>
      </c>
      <c r="I4" s="9" t="s">
        <v>249</v>
      </c>
      <c r="J4" s="9" t="s">
        <v>250</v>
      </c>
      <c r="K4" s="9" t="s">
        <v>251</v>
      </c>
      <c r="L4" s="9" t="s">
        <v>252</v>
      </c>
      <c r="M4" s="9" t="s">
        <v>253</v>
      </c>
      <c r="N4" s="9" t="s">
        <v>254</v>
      </c>
    </row>
    <row r="5" customFormat="false" ht="14.25" hidden="false" customHeight="true" outlineLevel="0" collapsed="false">
      <c r="A5" s="5" t="s">
        <v>255</v>
      </c>
    </row>
    <row r="6" customFormat="false" ht="14.25" hidden="false" customHeight="true" outlineLevel="0" collapsed="false">
      <c r="A6" s="6" t="s">
        <v>256</v>
      </c>
      <c r="B6" s="29" t="n">
        <v>7189</v>
      </c>
      <c r="C6" s="29" t="n">
        <v>7928</v>
      </c>
      <c r="D6" s="29" t="n">
        <v>8281</v>
      </c>
      <c r="E6" s="29" t="n">
        <v>8443</v>
      </c>
      <c r="F6" s="29" t="n">
        <v>8210</v>
      </c>
      <c r="G6" s="29" t="n">
        <v>8967</v>
      </c>
      <c r="H6" s="29" t="n">
        <v>9423</v>
      </c>
      <c r="I6" s="29" t="n">
        <v>9846</v>
      </c>
      <c r="J6" s="29" t="n">
        <v>9757</v>
      </c>
      <c r="K6" s="29" t="n">
        <v>10769</v>
      </c>
      <c r="L6" s="28" t="n">
        <f aca="false">SUM(C6:F6)</f>
        <v>32862</v>
      </c>
      <c r="M6" s="28" t="n">
        <f aca="false">SUM(G6:J6)</f>
        <v>37993</v>
      </c>
      <c r="N6" s="6" t="s">
        <v>257</v>
      </c>
    </row>
    <row r="7" customFormat="false" ht="14.25" hidden="false" customHeight="true" outlineLevel="0" collapsed="false">
      <c r="A7" s="6" t="s">
        <v>258</v>
      </c>
      <c r="B7" s="29" t="n">
        <v>3336</v>
      </c>
      <c r="C7" s="29" t="n">
        <v>4061</v>
      </c>
      <c r="D7" s="29" t="n">
        <v>4928</v>
      </c>
      <c r="E7" s="29" t="n">
        <v>6020</v>
      </c>
      <c r="F7" s="29" t="n">
        <v>7362</v>
      </c>
      <c r="G7" s="29" t="n">
        <v>9203</v>
      </c>
      <c r="H7" s="29" t="n">
        <v>11679</v>
      </c>
      <c r="I7" s="29" t="n">
        <v>13300</v>
      </c>
      <c r="J7" s="29" t="n">
        <v>14386</v>
      </c>
      <c r="K7" s="29" t="n">
        <v>17132</v>
      </c>
      <c r="L7" s="28" t="n">
        <f aca="false">SUM(C7:F7)</f>
        <v>22371</v>
      </c>
      <c r="M7" s="28" t="n">
        <f aca="false">SUM(G7:J7)</f>
        <v>48568</v>
      </c>
    </row>
    <row r="8" customFormat="false" ht="14.25" hidden="false" customHeight="true" outlineLevel="0" collapsed="false">
      <c r="A8" s="6" t="s">
        <v>259</v>
      </c>
      <c r="B8" s="29" t="n">
        <v>840</v>
      </c>
      <c r="C8" s="29" t="n">
        <v>1031</v>
      </c>
      <c r="D8" s="29" t="n">
        <v>1562</v>
      </c>
      <c r="E8" s="29" t="n">
        <v>2158</v>
      </c>
      <c r="F8" s="29" t="n">
        <v>1868</v>
      </c>
      <c r="G8" s="29" t="n">
        <v>2013</v>
      </c>
      <c r="H8" s="29" t="n">
        <v>2063</v>
      </c>
      <c r="I8" s="29" t="n">
        <v>2587</v>
      </c>
      <c r="J8" s="29" t="n">
        <v>2736</v>
      </c>
      <c r="K8" s="29" t="n">
        <v>3218</v>
      </c>
      <c r="L8" s="28" t="n">
        <f aca="false">SUM(C8:F8)</f>
        <v>6619</v>
      </c>
      <c r="M8" s="28" t="n">
        <f aca="false">SUM(G8:J8)</f>
        <v>9399</v>
      </c>
    </row>
    <row r="9" customFormat="false" ht="14.25" hidden="false" customHeight="true" outlineLevel="0" collapsed="false">
      <c r="A9" s="5" t="s">
        <v>260</v>
      </c>
      <c r="B9" s="41" t="n">
        <f aca="false">SUM(B6:B8)</f>
        <v>11365</v>
      </c>
      <c r="C9" s="41" t="n">
        <f aca="false">SUM(C6:C8)</f>
        <v>13020</v>
      </c>
      <c r="D9" s="41" t="n">
        <f aca="false">SUM(D6:D8)</f>
        <v>14771</v>
      </c>
      <c r="E9" s="41" t="n">
        <f aca="false">SUM(E6:E8)</f>
        <v>16621</v>
      </c>
      <c r="F9" s="41" t="n">
        <f aca="false">SUM(F6:F8)</f>
        <v>17440</v>
      </c>
      <c r="G9" s="41" t="n">
        <f aca="false">SUM(G6:G8)</f>
        <v>20183</v>
      </c>
      <c r="H9" s="41" t="n">
        <f aca="false">SUM(H6:H8)</f>
        <v>23165</v>
      </c>
      <c r="I9" s="41" t="n">
        <f aca="false">SUM(I6:I8)</f>
        <v>25733</v>
      </c>
      <c r="J9" s="41" t="n">
        <f aca="false">SUM(J6:J8)</f>
        <v>26879</v>
      </c>
      <c r="K9" s="41" t="n">
        <f aca="false">SUM(K6:K8)</f>
        <v>31119</v>
      </c>
      <c r="L9" s="41" t="n">
        <f aca="false">SUM(L6:L8)</f>
        <v>61852</v>
      </c>
      <c r="M9" s="41" t="n">
        <f aca="false">SUM(M6:M8)</f>
        <v>95960</v>
      </c>
    </row>
    <row r="11" customFormat="false" ht="14.25" hidden="false" customHeight="true" outlineLevel="0" collapsed="false">
      <c r="A11" s="5" t="s">
        <v>261</v>
      </c>
    </row>
    <row r="12" customFormat="false" ht="14.25" hidden="false" customHeight="true" outlineLevel="0" collapsed="false">
      <c r="A12" s="6" t="s">
        <v>256</v>
      </c>
      <c r="B12" s="29" t="n">
        <v>2050</v>
      </c>
      <c r="C12" s="29" t="n">
        <v>2256</v>
      </c>
      <c r="D12" s="29" t="n">
        <v>2340</v>
      </c>
      <c r="E12" s="29" t="n">
        <v>2413</v>
      </c>
      <c r="F12" s="29" t="n">
        <v>2409</v>
      </c>
      <c r="G12" s="29" t="n">
        <v>2657</v>
      </c>
      <c r="H12" s="29" t="n">
        <v>2863</v>
      </c>
      <c r="I12" s="29" t="n">
        <v>3053</v>
      </c>
      <c r="J12" s="29" t="n">
        <v>3125</v>
      </c>
      <c r="K12" s="29" t="n">
        <v>3537</v>
      </c>
      <c r="L12" s="28" t="n">
        <f aca="false">SUM(C12:F12)</f>
        <v>9418</v>
      </c>
      <c r="M12" s="28" t="n">
        <f aca="false">SUM(G12:J12)</f>
        <v>11698</v>
      </c>
    </row>
    <row r="13" customFormat="false" ht="14.25" hidden="false" customHeight="true" outlineLevel="0" collapsed="false">
      <c r="A13" s="6" t="s">
        <v>262</v>
      </c>
      <c r="B13" s="29" t="n">
        <v>951</v>
      </c>
      <c r="C13" s="29" t="n">
        <v>1212</v>
      </c>
      <c r="D13" s="29" t="n">
        <v>1473</v>
      </c>
      <c r="E13" s="29" t="n">
        <v>1671</v>
      </c>
      <c r="F13" s="29" t="n">
        <v>1840</v>
      </c>
      <c r="G13" s="29" t="n">
        <v>2295</v>
      </c>
      <c r="H13" s="29" t="n">
        <v>1023</v>
      </c>
      <c r="I13" s="29" t="n">
        <v>1070</v>
      </c>
      <c r="J13" s="29" t="n">
        <v>978</v>
      </c>
      <c r="K13" s="29" t="n">
        <v>1034</v>
      </c>
      <c r="L13" s="28" t="n">
        <f aca="false">SUM(C13:F13)</f>
        <v>6196</v>
      </c>
      <c r="M13" s="28" t="n">
        <f aca="false">SUM(G13:J13)</f>
        <v>5366</v>
      </c>
    </row>
    <row r="14" customFormat="false" ht="14.25" hidden="false" customHeight="true" outlineLevel="0" collapsed="false">
      <c r="A14" s="6" t="s">
        <v>258</v>
      </c>
      <c r="B14" s="29" t="n">
        <v>769</v>
      </c>
      <c r="C14" s="29" t="n">
        <v>942</v>
      </c>
      <c r="D14" s="29" t="n">
        <v>1156</v>
      </c>
      <c r="E14" s="29" t="n">
        <v>1399</v>
      </c>
      <c r="F14" s="29" t="n">
        <v>1709</v>
      </c>
      <c r="G14" s="29" t="n">
        <v>2400</v>
      </c>
      <c r="H14" s="29" t="n">
        <v>9891</v>
      </c>
      <c r="I14" s="29" t="n">
        <v>12256</v>
      </c>
      <c r="J14" s="29" t="n">
        <v>13232</v>
      </c>
      <c r="K14" s="29" t="n">
        <v>15664</v>
      </c>
      <c r="L14" s="28" t="n">
        <f aca="false">SUM(C14:F14)</f>
        <v>5206</v>
      </c>
      <c r="M14" s="28" t="n">
        <f aca="false">SUM(G14:J14)</f>
        <v>37779</v>
      </c>
      <c r="N14" s="6" t="s">
        <v>263</v>
      </c>
    </row>
    <row r="15" customFormat="false" ht="14.25" hidden="false" customHeight="true" outlineLevel="0" collapsed="false">
      <c r="A15" s="6" t="s">
        <v>259</v>
      </c>
      <c r="B15" s="29" t="n">
        <v>93</v>
      </c>
      <c r="C15" s="29" t="n">
        <v>95</v>
      </c>
      <c r="D15" s="29" t="n">
        <v>154</v>
      </c>
      <c r="E15" s="29" t="n">
        <v>259</v>
      </c>
      <c r="F15" s="29" t="n">
        <v>229</v>
      </c>
      <c r="G15" s="29" t="n">
        <v>207</v>
      </c>
      <c r="H15" s="29" t="n">
        <v>189</v>
      </c>
      <c r="I15" s="29" t="n">
        <v>300</v>
      </c>
      <c r="J15" s="29" t="n">
        <v>277</v>
      </c>
      <c r="K15" s="29" t="n">
        <v>318</v>
      </c>
      <c r="L15" s="28" t="n">
        <f aca="false">SUM(C15:F15)</f>
        <v>737</v>
      </c>
      <c r="M15" s="28" t="n">
        <f aca="false">SUM(G15:J15)</f>
        <v>973</v>
      </c>
    </row>
    <row r="16" customFormat="false" ht="14.25" hidden="false" customHeight="true" outlineLevel="0" collapsed="false">
      <c r="A16" s="6" t="s">
        <v>224</v>
      </c>
      <c r="B16" s="29" t="n">
        <v>10</v>
      </c>
      <c r="C16" s="29" t="n">
        <v>15</v>
      </c>
      <c r="D16" s="29" t="n">
        <v>4</v>
      </c>
      <c r="E16" s="29" t="n">
        <v>4</v>
      </c>
      <c r="F16" s="29" t="n">
        <v>1</v>
      </c>
      <c r="G16" s="29" t="n">
        <v>4</v>
      </c>
      <c r="H16" s="29" t="n">
        <v>2</v>
      </c>
      <c r="I16" s="29" t="n">
        <v>13</v>
      </c>
      <c r="J16" s="29" t="n">
        <v>68</v>
      </c>
      <c r="K16" s="29" t="n">
        <v>95</v>
      </c>
      <c r="L16" s="28" t="n">
        <f aca="false">SUM(C16:F16)</f>
        <v>24</v>
      </c>
      <c r="M16" s="28" t="n">
        <f aca="false">SUM(G16:J16)</f>
        <v>87</v>
      </c>
    </row>
    <row r="17" customFormat="false" ht="14.25" hidden="false" customHeight="true" outlineLevel="0" collapsed="false">
      <c r="A17" s="5" t="s">
        <v>264</v>
      </c>
      <c r="B17" s="41" t="n">
        <f aca="false">SUM(B12:B16)</f>
        <v>3873</v>
      </c>
      <c r="C17" s="41" t="n">
        <f aca="false">SUM(C12:C16)</f>
        <v>4520</v>
      </c>
      <c r="D17" s="41" t="n">
        <f aca="false">SUM(D12:D16)</f>
        <v>5127</v>
      </c>
      <c r="E17" s="41" t="n">
        <f aca="false">SUM(E12:E16)</f>
        <v>5746</v>
      </c>
      <c r="F17" s="41" t="n">
        <f aca="false">SUM(F12:F16)</f>
        <v>6188</v>
      </c>
      <c r="G17" s="41" t="n">
        <f aca="false">SUM(G12:G16)</f>
        <v>7563</v>
      </c>
      <c r="H17" s="41" t="n">
        <f aca="false">SUM(H12:H16)</f>
        <v>13968</v>
      </c>
      <c r="I17" s="41" t="n">
        <f aca="false">SUM(I12:I16)</f>
        <v>16692</v>
      </c>
      <c r="J17" s="41" t="n">
        <f aca="false">SUM(J12:J16)</f>
        <v>17680</v>
      </c>
      <c r="K17" s="41" t="n">
        <f aca="false">SUM(K12:K16)</f>
        <v>20648</v>
      </c>
      <c r="L17" s="41" t="n">
        <f aca="false">SUM(L12:L16)</f>
        <v>21581</v>
      </c>
      <c r="M17" s="41" t="n">
        <f aca="false">SUM(M12:M16)</f>
        <v>55903</v>
      </c>
    </row>
    <row r="19" customFormat="false" ht="14.25" hidden="false" customHeight="true" outlineLevel="0" collapsed="false">
      <c r="A19" s="5" t="s">
        <v>265</v>
      </c>
    </row>
    <row r="20" customFormat="false" ht="14.25" hidden="false" customHeight="true" outlineLevel="0" collapsed="false">
      <c r="A20" s="6" t="s">
        <v>256</v>
      </c>
      <c r="B20" s="29" t="n">
        <v>275</v>
      </c>
      <c r="C20" s="29" t="n">
        <v>313</v>
      </c>
      <c r="D20" s="29" t="n">
        <v>341</v>
      </c>
      <c r="E20" s="29" t="n">
        <v>423</v>
      </c>
      <c r="F20" s="29" t="n">
        <v>428</v>
      </c>
      <c r="G20" s="29" t="n">
        <v>451</v>
      </c>
      <c r="H20" s="29" t="n">
        <v>503</v>
      </c>
      <c r="I20" s="29" t="n">
        <v>531</v>
      </c>
      <c r="J20" s="29" t="n">
        <v>532</v>
      </c>
      <c r="K20" s="29" t="n">
        <v>606</v>
      </c>
      <c r="L20" s="28" t="n">
        <f aca="false">SUM(C20:F20)</f>
        <v>1505</v>
      </c>
      <c r="M20" s="28" t="n">
        <f aca="false">SUM(G20:J20)</f>
        <v>2017</v>
      </c>
    </row>
    <row r="21" customFormat="false" ht="14.25" hidden="false" customHeight="true" outlineLevel="0" collapsed="false">
      <c r="A21" s="6" t="s">
        <v>262</v>
      </c>
      <c r="B21" s="29" t="n">
        <v>-23</v>
      </c>
      <c r="C21" s="29" t="n">
        <v>-22</v>
      </c>
      <c r="D21" s="29" t="n">
        <v>-21</v>
      </c>
      <c r="E21" s="29" t="n">
        <v>-19</v>
      </c>
      <c r="F21" s="29" t="n">
        <v>-22</v>
      </c>
      <c r="G21" s="29" t="n">
        <v>-18</v>
      </c>
      <c r="H21" s="29" t="n">
        <v>-5</v>
      </c>
      <c r="I21" s="29" t="n">
        <v>1</v>
      </c>
      <c r="J21" s="29" t="n">
        <v>5</v>
      </c>
      <c r="K21" s="29" t="n">
        <v>6</v>
      </c>
      <c r="L21" s="28" t="n">
        <f aca="false">SUM(C21:F21)</f>
        <v>-84</v>
      </c>
      <c r="M21" s="28" t="n">
        <f aca="false">SUM(G21:J21)</f>
        <v>-17</v>
      </c>
    </row>
    <row r="22" customFormat="false" ht="14.25" hidden="false" customHeight="true" outlineLevel="0" collapsed="false">
      <c r="A22" s="6" t="s">
        <v>258</v>
      </c>
      <c r="B22" s="29" t="n">
        <v>-37</v>
      </c>
      <c r="C22" s="29" t="n">
        <v>-3</v>
      </c>
      <c r="D22" s="29" t="n">
        <v>-8</v>
      </c>
      <c r="E22" s="29" t="n">
        <v>-103</v>
      </c>
      <c r="F22" s="29" t="n">
        <v>-178</v>
      </c>
      <c r="G22" s="29" t="n">
        <v>-162</v>
      </c>
      <c r="H22" s="29" t="n">
        <v>-156</v>
      </c>
      <c r="I22" s="29" t="n">
        <v>4</v>
      </c>
      <c r="J22" s="29" t="n">
        <v>37</v>
      </c>
      <c r="K22" s="29" t="n">
        <v>102</v>
      </c>
      <c r="L22" s="28" t="n">
        <f aca="false">SUM(C22:F22)</f>
        <v>-292</v>
      </c>
      <c r="M22" s="28" t="n">
        <f aca="false">SUM(G22:J22)</f>
        <v>-277</v>
      </c>
    </row>
    <row r="23" customFormat="false" ht="14.25" hidden="false" customHeight="true" outlineLevel="0" collapsed="false">
      <c r="A23" s="6" t="s">
        <v>259</v>
      </c>
      <c r="B23" s="29" t="n">
        <v>-11</v>
      </c>
      <c r="C23" s="29" t="n">
        <v>10</v>
      </c>
      <c r="D23" s="29" t="n">
        <v>16</v>
      </c>
      <c r="E23" s="29" t="n">
        <v>-17</v>
      </c>
      <c r="F23" s="29" t="n">
        <v>-47</v>
      </c>
      <c r="G23" s="29" t="n">
        <v>-54</v>
      </c>
      <c r="H23" s="29" t="n">
        <v>-63</v>
      </c>
      <c r="I23" s="29" t="n">
        <v>-121</v>
      </c>
      <c r="J23" s="29" t="n">
        <v>-81</v>
      </c>
      <c r="K23" s="29" t="n">
        <v>-65</v>
      </c>
      <c r="L23" s="28" t="n">
        <f aca="false">SUM(C23:F23)</f>
        <v>-38</v>
      </c>
      <c r="M23" s="28" t="n">
        <f aca="false">SUM(G23:J23)</f>
        <v>-319</v>
      </c>
    </row>
    <row r="24" customFormat="false" ht="14.25" hidden="false" customHeight="true" outlineLevel="0" collapsed="false">
      <c r="A24" s="6" t="s">
        <v>224</v>
      </c>
      <c r="B24" s="29" t="n">
        <v>-10</v>
      </c>
      <c r="C24" s="29" t="n">
        <v>1</v>
      </c>
      <c r="D24" s="29" t="n">
        <v>2</v>
      </c>
      <c r="E24" s="29" t="n">
        <v>1</v>
      </c>
      <c r="F24" s="29" t="n">
        <v>-16</v>
      </c>
      <c r="G24" s="29" t="n">
        <v>-45</v>
      </c>
      <c r="H24" s="29" t="n">
        <v>-55</v>
      </c>
      <c r="I24" s="29" t="n">
        <v>-51</v>
      </c>
      <c r="J24" s="29" t="n">
        <v>-64</v>
      </c>
      <c r="K24" s="29" t="n">
        <v>-94</v>
      </c>
      <c r="L24" s="28" t="n">
        <f aca="false">SUM(C24:F24)</f>
        <v>-12</v>
      </c>
      <c r="M24" s="28" t="n">
        <f aca="false">SUM(G24:J24)</f>
        <v>-215</v>
      </c>
    </row>
    <row r="25" customFormat="false" ht="14.25" hidden="false" customHeight="true" outlineLevel="0" collapsed="false">
      <c r="A25" s="5" t="s">
        <v>266</v>
      </c>
      <c r="B25" s="41" t="n">
        <f aca="false">SUM(B20:B24)</f>
        <v>194</v>
      </c>
      <c r="C25" s="41" t="n">
        <f aca="false">SUM(C20:C24)</f>
        <v>299</v>
      </c>
      <c r="D25" s="41" t="n">
        <f aca="false">SUM(D20:D24)</f>
        <v>330</v>
      </c>
      <c r="E25" s="41" t="n">
        <f aca="false">SUM(E20:E24)</f>
        <v>285</v>
      </c>
      <c r="F25" s="41" t="n">
        <f aca="false">SUM(F20:F24)</f>
        <v>165</v>
      </c>
      <c r="G25" s="41" t="n">
        <f aca="false">SUM(G20:G24)</f>
        <v>172</v>
      </c>
      <c r="H25" s="41" t="n">
        <f aca="false">SUM(H20:H24)</f>
        <v>224</v>
      </c>
      <c r="I25" s="41" t="n">
        <f aca="false">SUM(I20:I24)</f>
        <v>364</v>
      </c>
      <c r="J25" s="41" t="n">
        <f aca="false">SUM(J20:J24)</f>
        <v>429</v>
      </c>
      <c r="K25" s="41" t="n">
        <f aca="false">SUM(K20:K24)</f>
        <v>555</v>
      </c>
      <c r="L25" s="41" t="n">
        <f aca="false">SUM(L20:L24)</f>
        <v>1079</v>
      </c>
      <c r="M25" s="41" t="n">
        <f aca="false">SUM(M20:M24)</f>
        <v>1189</v>
      </c>
    </row>
    <row r="26" customFormat="false" ht="14.25" hidden="false" customHeight="true" outlineLevel="0" collapsed="false">
      <c r="A26" s="6" t="s">
        <v>267</v>
      </c>
      <c r="B26" s="29" t="n">
        <v>194</v>
      </c>
      <c r="C26" s="29" t="n">
        <v>299</v>
      </c>
      <c r="D26" s="29" t="n">
        <v>330</v>
      </c>
      <c r="E26" s="29" t="n">
        <v>285</v>
      </c>
      <c r="F26" s="29" t="n">
        <v>165</v>
      </c>
      <c r="G26" s="29" t="n">
        <v>172</v>
      </c>
      <c r="H26" s="29" t="n">
        <v>224</v>
      </c>
      <c r="I26" s="29" t="n">
        <v>364</v>
      </c>
      <c r="J26" s="29" t="n">
        <v>429</v>
      </c>
      <c r="K26" s="29" t="n">
        <v>555</v>
      </c>
      <c r="L26" s="28" t="n">
        <f aca="false">SUM(C26:F26)</f>
        <v>1079</v>
      </c>
      <c r="M26" s="28" t="n">
        <f aca="false">SUM(G26:J26)</f>
        <v>1189</v>
      </c>
      <c r="N26" s="6" t="s">
        <v>268</v>
      </c>
    </row>
    <row r="27" customFormat="false" ht="14.25" hidden="false" customHeight="true" outlineLevel="0" collapsed="false">
      <c r="A27" s="6" t="s">
        <v>269</v>
      </c>
      <c r="B27" s="28" t="n">
        <f aca="false">B25-B26</f>
        <v>0</v>
      </c>
      <c r="C27" s="28" t="n">
        <f aca="false">C25-C26</f>
        <v>0</v>
      </c>
      <c r="D27" s="28" t="n">
        <f aca="false">D25-D26</f>
        <v>0</v>
      </c>
      <c r="E27" s="28" t="n">
        <f aca="false">E25-E26</f>
        <v>0</v>
      </c>
      <c r="F27" s="28" t="n">
        <f aca="false">F25-F26</f>
        <v>0</v>
      </c>
      <c r="G27" s="28" t="n">
        <f aca="false">G25-G26</f>
        <v>0</v>
      </c>
      <c r="H27" s="28" t="n">
        <f aca="false">H25-H26</f>
        <v>0</v>
      </c>
      <c r="I27" s="28" t="n">
        <f aca="false">I25-I26</f>
        <v>0</v>
      </c>
      <c r="J27" s="28" t="n">
        <f aca="false">J25-J26</f>
        <v>0</v>
      </c>
      <c r="K27" s="28" t="n">
        <f aca="false">K25-K26</f>
        <v>0</v>
      </c>
      <c r="L27" s="28" t="n">
        <f aca="false">L25-L26</f>
        <v>0</v>
      </c>
      <c r="M27" s="28" t="n">
        <f aca="false">M25-M26</f>
        <v>0</v>
      </c>
    </row>
    <row r="29" customFormat="false" ht="14.25" hidden="false" customHeight="true" outlineLevel="0" collapsed="false">
      <c r="A29" s="5" t="s">
        <v>270</v>
      </c>
    </row>
    <row r="30" customFormat="false" ht="14.25" hidden="false" customHeight="true" outlineLevel="0" collapsed="false">
      <c r="A30" s="6" t="s">
        <v>271</v>
      </c>
      <c r="B30" s="13" t="n">
        <f aca="false">B20/B6</f>
        <v>0.0382528863541522</v>
      </c>
      <c r="C30" s="13" t="n">
        <f aca="false">C20/C6</f>
        <v>0.0394803229061554</v>
      </c>
      <c r="D30" s="13" t="n">
        <f aca="false">D20/D6</f>
        <v>0.0411786016181621</v>
      </c>
      <c r="E30" s="13" t="n">
        <f aca="false">E20/E6</f>
        <v>0.0501006751154803</v>
      </c>
      <c r="F30" s="13" t="n">
        <f aca="false">F20/F6</f>
        <v>0.0521315468940317</v>
      </c>
      <c r="G30" s="13" t="n">
        <f aca="false">G20/G6</f>
        <v>0.0502955280472845</v>
      </c>
      <c r="H30" s="13" t="n">
        <f aca="false">H20/H6</f>
        <v>0.053380027592062</v>
      </c>
      <c r="I30" s="13" t="n">
        <f aca="false">I20/I6</f>
        <v>0.0539305301645338</v>
      </c>
      <c r="J30" s="13" t="n">
        <f aca="false">J20/J6</f>
        <v>0.0545249564415292</v>
      </c>
      <c r="K30" s="13" t="n">
        <f aca="false">K20/K6</f>
        <v>0.0562726344135946</v>
      </c>
      <c r="L30" s="13" t="n">
        <f aca="false">L20/L6</f>
        <v>0.0457975777493762</v>
      </c>
      <c r="M30" s="13" t="n">
        <f aca="false">M20/M6</f>
        <v>0.0530887268707393</v>
      </c>
    </row>
    <row r="31" customFormat="false" ht="14.25" hidden="false" customHeight="true" outlineLevel="0" collapsed="false">
      <c r="A31" s="6" t="s">
        <v>272</v>
      </c>
      <c r="B31" s="13" t="n">
        <f aca="false">B22/B7</f>
        <v>-0.0110911270983213</v>
      </c>
      <c r="C31" s="13" t="n">
        <f aca="false">C22/C7</f>
        <v>-0.000738734301896085</v>
      </c>
      <c r="D31" s="13" t="n">
        <f aca="false">D22/D7</f>
        <v>-0.00162337662337662</v>
      </c>
      <c r="E31" s="13" t="n">
        <f aca="false">E22/E7</f>
        <v>-0.017109634551495</v>
      </c>
      <c r="F31" s="13" t="n">
        <f aca="false">F22/F7</f>
        <v>-0.0241782124422711</v>
      </c>
      <c r="G31" s="13" t="n">
        <f aca="false">G22/G7</f>
        <v>-0.0176029555579702</v>
      </c>
      <c r="H31" s="13" t="n">
        <f aca="false">H22/H7</f>
        <v>-0.0133573079886977</v>
      </c>
      <c r="I31" s="13" t="n">
        <f aca="false">I22/I7</f>
        <v>0.000300751879699248</v>
      </c>
      <c r="J31" s="13" t="n">
        <f aca="false">J22/J7</f>
        <v>0.00257194494647574</v>
      </c>
      <c r="K31" s="13" t="n">
        <f aca="false">K22/K7</f>
        <v>0.00595377072145692</v>
      </c>
      <c r="L31" s="13" t="n">
        <f aca="false">L22/L7</f>
        <v>-0.0130526127575879</v>
      </c>
      <c r="M31" s="13" t="n">
        <f aca="false">M22/M7</f>
        <v>-0.00570334376544227</v>
      </c>
    </row>
    <row r="32" customFormat="false" ht="14.25" hidden="false" customHeight="true" outlineLevel="0" collapsed="false">
      <c r="A32" s="6" t="s">
        <v>273</v>
      </c>
      <c r="B32" s="13" t="n">
        <f aca="false">B23/B8</f>
        <v>-0.0130952380952381</v>
      </c>
      <c r="C32" s="13" t="n">
        <f aca="false">C23/C8</f>
        <v>0.00969932104752667</v>
      </c>
      <c r="D32" s="13" t="n">
        <f aca="false">D23/D8</f>
        <v>0.0102432778489117</v>
      </c>
      <c r="E32" s="13" t="n">
        <f aca="false">E23/E8</f>
        <v>-0.00787766450417053</v>
      </c>
      <c r="F32" s="13" t="n">
        <f aca="false">F23/F8</f>
        <v>-0.0251605995717345</v>
      </c>
      <c r="G32" s="13" t="n">
        <f aca="false">G23/G8</f>
        <v>-0.0268256333830104</v>
      </c>
      <c r="H32" s="13" t="n">
        <f aca="false">H23/H8</f>
        <v>-0.0305380513814833</v>
      </c>
      <c r="I32" s="13" t="n">
        <f aca="false">I23/I8</f>
        <v>-0.0467723231542327</v>
      </c>
      <c r="J32" s="13" t="n">
        <f aca="false">J23/J8</f>
        <v>-0.0296052631578947</v>
      </c>
      <c r="K32" s="13" t="n">
        <f aca="false">K23/K8</f>
        <v>-0.0201988812927284</v>
      </c>
      <c r="L32" s="13" t="n">
        <f aca="false">L23/L8</f>
        <v>-0.00574104849675178</v>
      </c>
      <c r="M32" s="13" t="n">
        <f aca="false">M23/M8</f>
        <v>-0.0339397808277476</v>
      </c>
    </row>
    <row r="33" customFormat="false" ht="14.25" hidden="false" customHeight="true" outlineLevel="0" collapsed="false">
      <c r="A33" s="6" t="s">
        <v>274</v>
      </c>
      <c r="B33" s="13" t="n">
        <f aca="false">B12/B6</f>
        <v>0.285157880094589</v>
      </c>
      <c r="C33" s="13" t="n">
        <f aca="false">C12/C6</f>
        <v>0.284561049445005</v>
      </c>
      <c r="D33" s="13" t="n">
        <f aca="false">D12/D6</f>
        <v>0.282574568288854</v>
      </c>
      <c r="E33" s="13" t="n">
        <f aca="false">E12/E6</f>
        <v>0.285798886651664</v>
      </c>
      <c r="F33" s="13" t="n">
        <f aca="false">F12/F6</f>
        <v>0.293422655298417</v>
      </c>
      <c r="G33" s="13" t="n">
        <f aca="false">G12/G6</f>
        <v>0.29630868740939</v>
      </c>
      <c r="H33" s="13" t="n">
        <f aca="false">H12/H6</f>
        <v>0.303831051682055</v>
      </c>
      <c r="I33" s="13" t="n">
        <f aca="false">I12/I6</f>
        <v>0.310075157424335</v>
      </c>
      <c r="J33" s="13" t="n">
        <f aca="false">J12/J6</f>
        <v>0.32028287383417</v>
      </c>
      <c r="K33" s="13" t="n">
        <f aca="false">K12/K6</f>
        <v>0.328442752344693</v>
      </c>
      <c r="L33" s="13" t="n">
        <f aca="false">L12/L6</f>
        <v>0.286592416773173</v>
      </c>
      <c r="M33" s="13" t="n">
        <f aca="false">M12/M6</f>
        <v>0.307898823467481</v>
      </c>
    </row>
    <row r="34" customFormat="false" ht="14.25" hidden="false" customHeight="true" outlineLevel="0" collapsed="false">
      <c r="A34" s="6" t="s">
        <v>275</v>
      </c>
      <c r="B34" s="13" t="n">
        <f aca="false">B14/B7</f>
        <v>0.230515587529976</v>
      </c>
      <c r="C34" s="13" t="n">
        <f aca="false">C14/C7</f>
        <v>0.231962570795371</v>
      </c>
      <c r="D34" s="13" t="n">
        <f aca="false">D14/D7</f>
        <v>0.234577922077922</v>
      </c>
      <c r="E34" s="13" t="n">
        <f aca="false">E14/E7</f>
        <v>0.232392026578073</v>
      </c>
      <c r="F34" s="13" t="n">
        <f aca="false">F14/F7</f>
        <v>0.232138005976637</v>
      </c>
      <c r="G34" s="13" t="n">
        <f aca="false">G14/G7</f>
        <v>0.260784526784744</v>
      </c>
      <c r="H34" s="13" t="n">
        <f aca="false">H14/H7</f>
        <v>0.846904700744927</v>
      </c>
      <c r="I34" s="13" t="n">
        <f aca="false">I14/I7</f>
        <v>0.921503759398496</v>
      </c>
      <c r="J34" s="13" t="n">
        <f aca="false">J14/J7</f>
        <v>0.919783122480189</v>
      </c>
      <c r="K34" s="13" t="n">
        <f aca="false">K14/K7</f>
        <v>0.914312397851973</v>
      </c>
      <c r="L34" s="13" t="n">
        <f aca="false">L14/L7</f>
        <v>0.232711993205489</v>
      </c>
      <c r="M34" s="13" t="n">
        <f aca="false">M14/M7</f>
        <v>0.777857848789326</v>
      </c>
      <c r="N34" s="6" t="s">
        <v>276</v>
      </c>
    </row>
    <row r="35" customFormat="false" ht="14.25" hidden="false" customHeight="true" outlineLevel="0" collapsed="false">
      <c r="A35" s="6" t="s">
        <v>277</v>
      </c>
      <c r="B35" s="13" t="n">
        <f aca="false">B15/B8</f>
        <v>0.110714285714286</v>
      </c>
      <c r="C35" s="13" t="n">
        <f aca="false">C15/C8</f>
        <v>0.0921435499515034</v>
      </c>
      <c r="D35" s="13" t="n">
        <f aca="false">D15/D8</f>
        <v>0.0985915492957746</v>
      </c>
      <c r="E35" s="13" t="n">
        <f aca="false">E15/E8</f>
        <v>0.120018535681186</v>
      </c>
      <c r="F35" s="13" t="n">
        <f aca="false">F15/F8</f>
        <v>0.122591006423983</v>
      </c>
      <c r="G35" s="13" t="n">
        <f aca="false">G15/G8</f>
        <v>0.102831594634873</v>
      </c>
      <c r="H35" s="13" t="n">
        <f aca="false">H15/H8</f>
        <v>0.0916141541444498</v>
      </c>
      <c r="I35" s="13" t="n">
        <f aca="false">I15/I8</f>
        <v>0.115964437572478</v>
      </c>
      <c r="J35" s="13" t="n">
        <f aca="false">J15/J8</f>
        <v>0.10124269005848</v>
      </c>
      <c r="K35" s="13" t="n">
        <f aca="false">K15/K8</f>
        <v>0.0988191423244251</v>
      </c>
      <c r="L35" s="13" t="n">
        <f aca="false">L15/L8</f>
        <v>0.111346124792265</v>
      </c>
      <c r="M35" s="13" t="n">
        <f aca="false">M15/M8</f>
        <v>0.103521651239494</v>
      </c>
    </row>
    <row r="37" customFormat="false" ht="14.25" hidden="false" customHeight="true" outlineLevel="0" collapsed="false">
      <c r="A37" s="5" t="s">
        <v>278</v>
      </c>
    </row>
    <row r="38" customFormat="false" ht="14.25" hidden="false" customHeight="true" outlineLevel="0" collapsed="false">
      <c r="A38" s="6" t="s">
        <v>279</v>
      </c>
      <c r="F38" s="31" t="n">
        <v>20.9</v>
      </c>
      <c r="G38" s="31" t="n">
        <v>22.9</v>
      </c>
      <c r="I38" s="31" t="n">
        <v>24.9</v>
      </c>
      <c r="J38" s="31" t="n">
        <v>25.4</v>
      </c>
      <c r="K38" s="31" t="n">
        <v>27.2</v>
      </c>
      <c r="N38" s="6" t="s">
        <v>280</v>
      </c>
    </row>
    <row r="39" customFormat="false" ht="14.25" hidden="false" customHeight="true" outlineLevel="0" collapsed="false">
      <c r="A39" s="6" t="s">
        <v>281</v>
      </c>
      <c r="F39" s="31" t="n">
        <v>13.7</v>
      </c>
      <c r="G39" s="31" t="n">
        <v>16.9</v>
      </c>
      <c r="I39" s="31" t="n">
        <v>23.6</v>
      </c>
      <c r="J39" s="31" t="n">
        <v>27.2</v>
      </c>
      <c r="K39" s="31" t="n">
        <v>31.8</v>
      </c>
    </row>
    <row r="40" customFormat="false" ht="14.25" hidden="false" customHeight="true" outlineLevel="0" collapsed="false">
      <c r="A40" s="6" t="s">
        <v>282</v>
      </c>
      <c r="F40" s="31" t="n">
        <v>141.7</v>
      </c>
      <c r="G40" s="31" t="n">
        <v>176.7</v>
      </c>
      <c r="I40" s="31" t="n">
        <v>243.3</v>
      </c>
      <c r="J40" s="31" t="n">
        <v>273.9</v>
      </c>
      <c r="K40" s="31" t="n">
        <v>331</v>
      </c>
    </row>
    <row r="41" customFormat="false" ht="14.25" hidden="false" customHeight="true" outlineLevel="0" collapsed="false">
      <c r="A41" s="6" t="s">
        <v>283</v>
      </c>
      <c r="F41" s="29" t="n">
        <v>520</v>
      </c>
      <c r="G41" s="29" t="n">
        <v>521</v>
      </c>
      <c r="I41" s="29" t="n">
        <v>547</v>
      </c>
      <c r="J41" s="29" t="n">
        <v>525</v>
      </c>
      <c r="K41" s="29" t="n">
        <v>518</v>
      </c>
    </row>
    <row r="42" customFormat="false" ht="14.25" hidden="false" customHeight="true" outlineLevel="0" collapsed="false">
      <c r="A42" s="6" t="s">
        <v>284</v>
      </c>
      <c r="G42" s="29" t="n">
        <v>1544</v>
      </c>
      <c r="I42" s="29" t="n">
        <v>2027</v>
      </c>
      <c r="J42" s="29" t="n">
        <v>2243</v>
      </c>
      <c r="K42" s="29" t="n">
        <v>2443</v>
      </c>
      <c r="N42" s="6" t="s">
        <v>285</v>
      </c>
    </row>
    <row r="43" customFormat="false" ht="14.25" hidden="false" customHeight="true" outlineLevel="0" collapsed="false">
      <c r="A43" s="6" t="s">
        <v>286</v>
      </c>
      <c r="F43" s="29" t="n">
        <v>842</v>
      </c>
      <c r="I43" s="29" t="n">
        <v>1023</v>
      </c>
      <c r="J43" s="29" t="n">
        <v>998</v>
      </c>
      <c r="N43" s="6" t="s">
        <v>287</v>
      </c>
    </row>
    <row r="44" customFormat="false" ht="14.25" hidden="false" customHeight="true" outlineLevel="0" collapsed="false">
      <c r="A44" s="6" t="s">
        <v>288</v>
      </c>
      <c r="F44" s="29" t="n">
        <v>289</v>
      </c>
      <c r="I44" s="29" t="n">
        <v>736</v>
      </c>
      <c r="J44" s="29" t="n">
        <v>782</v>
      </c>
    </row>
    <row r="45" customFormat="false" ht="14.25" hidden="false" customHeight="true" outlineLevel="0" collapsed="false">
      <c r="A45" s="6" t="s">
        <v>289</v>
      </c>
      <c r="F45" s="13" t="n">
        <f aca="false">F43/F6</f>
        <v>0.102557856272838</v>
      </c>
      <c r="I45" s="13" t="n">
        <f aca="false">I43/I6</f>
        <v>0.103900060938452</v>
      </c>
      <c r="J45" s="13" t="n">
        <f aca="false">J43/J6</f>
        <v>0.102285538587681</v>
      </c>
    </row>
    <row r="46" customFormat="false" ht="14.25" hidden="false" customHeight="true" outlineLevel="0" collapsed="false">
      <c r="A46" s="6" t="s">
        <v>290</v>
      </c>
      <c r="F46" s="13" t="n">
        <f aca="false">F44/F7</f>
        <v>0.0392556370551481</v>
      </c>
      <c r="I46" s="13" t="n">
        <f aca="false">I44/I7</f>
        <v>0.0553383458646617</v>
      </c>
      <c r="J46" s="13" t="n">
        <f aca="false">J44/J7</f>
        <v>0.0543584040038927</v>
      </c>
    </row>
    <row r="49" customFormat="false" ht="14.25" hidden="false" customHeight="true" outlineLevel="0" collapsed="false">
      <c r="A49" s="9" t="s">
        <v>291</v>
      </c>
      <c r="B49" s="9" t="s">
        <v>252</v>
      </c>
      <c r="C49" s="9" t="s">
        <v>253</v>
      </c>
      <c r="D49" s="9" t="s">
        <v>254</v>
      </c>
    </row>
    <row r="50" customFormat="false" ht="14.25" hidden="false" customHeight="true" outlineLevel="0" collapsed="false">
      <c r="A50" s="6" t="s">
        <v>292</v>
      </c>
      <c r="B50" s="15" t="n">
        <f aca="false">Historical!F17</f>
        <v>637</v>
      </c>
      <c r="C50" s="15" t="n">
        <f aca="false">Historical!G17</f>
        <v>1208</v>
      </c>
    </row>
    <row r="51" customFormat="false" ht="14.25" hidden="false" customHeight="true" outlineLevel="0" collapsed="false">
      <c r="A51" s="6" t="s">
        <v>293</v>
      </c>
      <c r="B51" s="29" t="n">
        <v>798</v>
      </c>
      <c r="C51" s="29" t="n">
        <v>819</v>
      </c>
      <c r="D51" s="6" t="s">
        <v>294</v>
      </c>
    </row>
    <row r="52" customFormat="false" ht="14.25" hidden="false" customHeight="true" outlineLevel="0" collapsed="false">
      <c r="A52" s="6" t="s">
        <v>295</v>
      </c>
      <c r="B52" s="28" t="n">
        <f aca="false">B50+B51</f>
        <v>1435</v>
      </c>
      <c r="C52" s="28" t="n">
        <f aca="false">C50+C51</f>
        <v>2027</v>
      </c>
    </row>
    <row r="53" customFormat="false" ht="14.25" hidden="false" customHeight="true" outlineLevel="0" collapsed="false">
      <c r="A53" s="6" t="s">
        <v>296</v>
      </c>
      <c r="B53" s="29" t="n">
        <v>1435</v>
      </c>
      <c r="C53" s="29" t="n">
        <v>2027</v>
      </c>
      <c r="D53" s="6" t="s">
        <v>297</v>
      </c>
    </row>
    <row r="54" customFormat="false" ht="14.25" hidden="false" customHeight="true" outlineLevel="0" collapsed="false">
      <c r="A54" s="6" t="s">
        <v>298</v>
      </c>
      <c r="B54" s="28" t="n">
        <f aca="false">B52-B53</f>
        <v>0</v>
      </c>
      <c r="C54" s="28" t="n">
        <f aca="false">C52-C53</f>
        <v>0</v>
      </c>
    </row>
    <row r="55" customFormat="false" ht="14.25" hidden="false" customHeight="true" outlineLevel="0" collapsed="false">
      <c r="A55" s="6" t="s">
        <v>299</v>
      </c>
      <c r="B55" s="28" t="n">
        <f aca="false">B52-B56</f>
        <v>356</v>
      </c>
      <c r="C55" s="28" t="n">
        <f aca="false">C52-C56</f>
        <v>838</v>
      </c>
      <c r="D55" s="6" t="s">
        <v>300</v>
      </c>
    </row>
    <row r="56" customFormat="false" ht="14.25" hidden="false" customHeight="true" outlineLevel="0" collapsed="false">
      <c r="A56" s="5" t="s">
        <v>301</v>
      </c>
      <c r="B56" s="41" t="n">
        <f aca="false">L25</f>
        <v>1079</v>
      </c>
      <c r="C56" s="41" t="n">
        <f aca="false">M25</f>
        <v>1189</v>
      </c>
    </row>
    <row r="57" customFormat="false" ht="14.25" hidden="false" customHeight="true" outlineLevel="0" collapsed="false">
      <c r="A57" s="6" t="s">
        <v>302</v>
      </c>
      <c r="B57" s="29" t="n">
        <v>258</v>
      </c>
      <c r="C57" s="29" t="n">
        <v>471</v>
      </c>
      <c r="D57" s="6" t="s">
        <v>303</v>
      </c>
    </row>
    <row r="58" customFormat="false" ht="14.25" hidden="false" customHeight="true" outlineLevel="0" collapsed="false">
      <c r="A58" s="6" t="s">
        <v>304</v>
      </c>
      <c r="B58" s="29" t="n">
        <v>147</v>
      </c>
      <c r="C58" s="29" t="n">
        <v>367</v>
      </c>
    </row>
    <row r="59" customFormat="false" ht="14.25" hidden="false" customHeight="true" outlineLevel="0" collapsed="false">
      <c r="A59" s="6" t="s">
        <v>305</v>
      </c>
      <c r="B59" s="28" t="n">
        <f aca="false">B57+B58</f>
        <v>405</v>
      </c>
      <c r="C59" s="28" t="n">
        <f aca="false">C57+C58</f>
        <v>838</v>
      </c>
    </row>
    <row r="60" customFormat="false" ht="14.25" hidden="false" customHeight="true" outlineLevel="0" collapsed="false">
      <c r="A60" s="6" t="s">
        <v>306</v>
      </c>
      <c r="B60" s="28" t="n">
        <f aca="false">B55-B59</f>
        <v>-49</v>
      </c>
      <c r="C60" s="28" t="n">
        <f aca="false">C55-C59</f>
        <v>0</v>
      </c>
    </row>
    <row r="62" customFormat="false" ht="14.25" hidden="false" customHeight="true" outlineLevel="0" collapsed="false">
      <c r="A62" s="5" t="s">
        <v>307</v>
      </c>
    </row>
    <row r="63" customFormat="false" ht="14.25" hidden="false" customHeight="true" outlineLevel="0" collapsed="false">
      <c r="A63" s="6" t="s">
        <v>308</v>
      </c>
      <c r="B63" s="29" t="n">
        <v>308</v>
      </c>
      <c r="C63" s="29" t="n">
        <v>632</v>
      </c>
    </row>
    <row r="64" customFormat="false" ht="14.25" hidden="false" customHeight="true" outlineLevel="0" collapsed="false">
      <c r="A64" s="6" t="s">
        <v>309</v>
      </c>
      <c r="B64" s="29" t="n">
        <v>936</v>
      </c>
      <c r="C64" s="29" t="n">
        <v>1751</v>
      </c>
    </row>
    <row r="65" customFormat="false" ht="14.25" hidden="false" customHeight="true" outlineLevel="0" collapsed="false">
      <c r="A65" s="6" t="s">
        <v>310</v>
      </c>
      <c r="B65" s="15" t="n">
        <f aca="false">Historical!F18</f>
        <v>863</v>
      </c>
      <c r="C65" s="15" t="n">
        <f aca="false">Historical!G18</f>
        <v>1597</v>
      </c>
    </row>
    <row r="66" customFormat="false" ht="14.25" hidden="false" customHeight="true" outlineLevel="0" collapsed="false">
      <c r="A66" s="6" t="s">
        <v>311</v>
      </c>
      <c r="B66" s="28" t="n">
        <f aca="false">B65-B57</f>
        <v>605</v>
      </c>
      <c r="C66" s="28" t="n">
        <f aca="false">C65-C57</f>
        <v>1126</v>
      </c>
    </row>
    <row r="67" customFormat="false" ht="14.25" hidden="false" customHeight="true" outlineLevel="0" collapsed="false">
      <c r="A67" s="6" t="s">
        <v>312</v>
      </c>
      <c r="B67" s="29" t="n">
        <v>-1093</v>
      </c>
      <c r="C67" s="29" t="n">
        <v>-1228</v>
      </c>
      <c r="D67" s="6" t="s">
        <v>313</v>
      </c>
    </row>
    <row r="68" customFormat="false" ht="14.25" hidden="false" customHeight="true" outlineLevel="0" collapsed="false">
      <c r="A68" s="6" t="s">
        <v>314</v>
      </c>
      <c r="B68" s="28" t="n">
        <f aca="false">L9</f>
        <v>61852</v>
      </c>
      <c r="C68" s="28" t="n">
        <f aca="false">M9</f>
        <v>95960</v>
      </c>
    </row>
    <row r="69" customFormat="false" ht="14.25" hidden="false" customHeight="true" outlineLevel="0" collapsed="false">
      <c r="A69" s="6" t="s">
        <v>315</v>
      </c>
      <c r="B69" s="24" t="n">
        <f aca="false">B51/B68</f>
        <v>0.0129017655047533</v>
      </c>
      <c r="C69" s="24" t="n">
        <f aca="false">C51/C68</f>
        <v>0.00853480616923718</v>
      </c>
    </row>
    <row r="70" customFormat="false" ht="14.25" hidden="false" customHeight="true" outlineLevel="0" collapsed="false">
      <c r="A70" s="6" t="s">
        <v>316</v>
      </c>
      <c r="B70" s="24" t="n">
        <f aca="false">B64/B68</f>
        <v>0.0151328978852745</v>
      </c>
      <c r="C70" s="24" t="n">
        <f aca="false">C64/C68</f>
        <v>0.0182471863276365</v>
      </c>
    </row>
    <row r="71" customFormat="false" ht="14.25" hidden="false" customHeight="true" outlineLevel="0" collapsed="false">
      <c r="A71" s="6" t="s">
        <v>317</v>
      </c>
      <c r="B71" s="24" t="n">
        <f aca="false">B66/B68</f>
        <v>0.0097814136972127</v>
      </c>
      <c r="C71" s="24" t="n">
        <f aca="false">C66/C68</f>
        <v>0.0117340558566069</v>
      </c>
    </row>
    <row r="72" customFormat="false" ht="14.25" hidden="false" customHeight="true" outlineLevel="0" collapsed="false">
      <c r="A72" s="6" t="s">
        <v>318</v>
      </c>
      <c r="C72" s="24" t="n">
        <f aca="false">-C67/(C68-B68)</f>
        <v>0.0360032836871115</v>
      </c>
      <c r="D72" s="6" t="s">
        <v>319</v>
      </c>
    </row>
    <row r="75" customFormat="false" ht="14.25" hidden="false" customHeight="true" outlineLevel="0" collapsed="false">
      <c r="A75" s="9" t="str">
        <f aca="false">"FORECAST — segment operating model | scenario: "&amp;Assumptions!B32</f>
        <v>FORECAST — segment operating model | scenario: Base</v>
      </c>
      <c r="B75" s="9"/>
      <c r="C75" s="9"/>
      <c r="D75" s="9"/>
      <c r="E75" s="9"/>
      <c r="F75" s="9"/>
      <c r="G75" s="9"/>
      <c r="H75" s="9"/>
      <c r="I75" s="9"/>
      <c r="J75" s="9"/>
      <c r="K75" s="9"/>
      <c r="L75" s="9"/>
      <c r="M75" s="9"/>
      <c r="N75" s="9"/>
    </row>
    <row r="76" customFormat="false" ht="14.25" hidden="false" customHeight="true" outlineLevel="0" collapsed="false">
      <c r="A76" s="5" t="s">
        <v>320</v>
      </c>
      <c r="B76" s="5" t="s">
        <v>252</v>
      </c>
      <c r="C76" s="5" t="s">
        <v>253</v>
      </c>
      <c r="D76" s="5" t="s">
        <v>321</v>
      </c>
      <c r="E76" s="5" t="s">
        <v>322</v>
      </c>
      <c r="F76" s="5" t="s">
        <v>323</v>
      </c>
      <c r="G76" s="5" t="s">
        <v>324</v>
      </c>
      <c r="H76" s="5" t="s">
        <v>325</v>
      </c>
      <c r="I76" s="5" t="s">
        <v>326</v>
      </c>
      <c r="J76" s="5" t="s">
        <v>327</v>
      </c>
      <c r="K76" s="5" t="s">
        <v>328</v>
      </c>
      <c r="L76" s="5" t="s">
        <v>329</v>
      </c>
      <c r="M76" s="5" t="s">
        <v>330</v>
      </c>
    </row>
    <row r="77" customFormat="false" ht="14.25" hidden="false" customHeight="true" outlineLevel="0" collapsed="false">
      <c r="A77" s="6" t="s">
        <v>331</v>
      </c>
      <c r="C77" s="36" t="n">
        <v>0</v>
      </c>
      <c r="D77" s="35" t="n">
        <f aca="false">C77+1</f>
        <v>1</v>
      </c>
      <c r="E77" s="35" t="n">
        <f aca="false">D77+1</f>
        <v>2</v>
      </c>
      <c r="F77" s="35" t="n">
        <f aca="false">E77+1</f>
        <v>3</v>
      </c>
      <c r="G77" s="35" t="n">
        <f aca="false">F77+1</f>
        <v>4</v>
      </c>
      <c r="H77" s="35" t="n">
        <f aca="false">G77+1</f>
        <v>5</v>
      </c>
      <c r="I77" s="35" t="n">
        <f aca="false">H77+1</f>
        <v>6</v>
      </c>
      <c r="J77" s="35" t="n">
        <f aca="false">I77+1</f>
        <v>7</v>
      </c>
      <c r="K77" s="35" t="n">
        <f aca="false">J77+1</f>
        <v>8</v>
      </c>
      <c r="L77" s="35" t="n">
        <f aca="false">K77+1</f>
        <v>9</v>
      </c>
      <c r="M77" s="35" t="n">
        <f aca="false">L77+1</f>
        <v>10</v>
      </c>
    </row>
    <row r="78" customFormat="false" ht="14.25" hidden="false" customHeight="true" outlineLevel="0" collapsed="false">
      <c r="A78" s="33" t="s">
        <v>332</v>
      </c>
    </row>
    <row r="79" customFormat="false" ht="14.25" hidden="false" customHeight="true" outlineLevel="0" collapsed="false">
      <c r="A79" s="6" t="s">
        <v>333</v>
      </c>
      <c r="B79" s="28" t="n">
        <f aca="false">L6</f>
        <v>32862</v>
      </c>
      <c r="C79" s="28" t="n">
        <f aca="false">M6</f>
        <v>37993</v>
      </c>
      <c r="D79" s="28" t="n">
        <f aca="false">C79*(1+D80)</f>
        <v>45591.6</v>
      </c>
      <c r="E79" s="28" t="n">
        <f aca="false">D79*(1+E80)</f>
        <v>54102.032</v>
      </c>
      <c r="F79" s="28" t="n">
        <f aca="false">E79*(1+F80)</f>
        <v>63479.7175466667</v>
      </c>
      <c r="G79" s="28" t="n">
        <f aca="false">F79*(1+G80)</f>
        <v>73636.4723541333</v>
      </c>
      <c r="H79" s="28" t="n">
        <f aca="false">G79*(1+H80)</f>
        <v>84436.4882994062</v>
      </c>
      <c r="I79" s="28" t="n">
        <f aca="false">H79*(1+I80)</f>
        <v>95694.6867393271</v>
      </c>
      <c r="J79" s="28" t="n">
        <f aca="false">I79*(1+J80)</f>
        <v>107178.049148046</v>
      </c>
      <c r="K79" s="28" t="n">
        <f aca="false">J79*(1+K80)</f>
        <v>118610.374390505</v>
      </c>
      <c r="L79" s="28" t="n">
        <f aca="false">K79*(1+L80)</f>
        <v>129680.676000285</v>
      </c>
      <c r="M79" s="28" t="n">
        <f aca="false">L79*(1+M80)</f>
        <v>140055.130080308</v>
      </c>
    </row>
    <row r="80" customFormat="false" ht="14.25" hidden="false" customHeight="true" outlineLevel="0" collapsed="false">
      <c r="A80" s="6" t="s">
        <v>334</v>
      </c>
      <c r="C80" s="13" t="n">
        <f aca="false">C79/B79-1</f>
        <v>0.156137788326943</v>
      </c>
      <c r="D80" s="13" t="n">
        <f aca="false">Assumptions!$B$36+(Assumptions!$B$37-Assumptions!$B$36)*(D$77-1)/9</f>
        <v>0.2</v>
      </c>
      <c r="E80" s="13" t="n">
        <f aca="false">Assumptions!$B$36+(Assumptions!$B$37-Assumptions!$B$36)*(E$77-1)/9</f>
        <v>0.186666666666667</v>
      </c>
      <c r="F80" s="13" t="n">
        <f aca="false">Assumptions!$B$36+(Assumptions!$B$37-Assumptions!$B$36)*(F$77-1)/9</f>
        <v>0.173333333333333</v>
      </c>
      <c r="G80" s="13" t="n">
        <f aca="false">Assumptions!$B$36+(Assumptions!$B$37-Assumptions!$B$36)*(G$77-1)/9</f>
        <v>0.16</v>
      </c>
      <c r="H80" s="13" t="n">
        <f aca="false">Assumptions!$B$36+(Assumptions!$B$37-Assumptions!$B$36)*(H$77-1)/9</f>
        <v>0.146666666666667</v>
      </c>
      <c r="I80" s="13" t="n">
        <f aca="false">Assumptions!$B$36+(Assumptions!$B$37-Assumptions!$B$36)*(I$77-1)/9</f>
        <v>0.133333333333333</v>
      </c>
      <c r="J80" s="13" t="n">
        <f aca="false">Assumptions!$B$36+(Assumptions!$B$37-Assumptions!$B$36)*(J$77-1)/9</f>
        <v>0.12</v>
      </c>
      <c r="K80" s="13" t="n">
        <f aca="false">Assumptions!$B$36+(Assumptions!$B$37-Assumptions!$B$36)*(K$77-1)/9</f>
        <v>0.106666666666667</v>
      </c>
      <c r="L80" s="13" t="n">
        <f aca="false">Assumptions!$B$36+(Assumptions!$B$37-Assumptions!$B$36)*(L$77-1)/9</f>
        <v>0.0933333333333333</v>
      </c>
      <c r="M80" s="13" t="n">
        <f aca="false">Assumptions!$B$36+(Assumptions!$B$37-Assumptions!$B$36)*(M$77-1)/9</f>
        <v>0.08</v>
      </c>
    </row>
    <row r="81" customFormat="false" ht="14.25" hidden="false" customHeight="true" outlineLevel="0" collapsed="false">
      <c r="A81" s="6" t="s">
        <v>335</v>
      </c>
      <c r="B81" s="13" t="n">
        <f aca="false">B82/B79</f>
        <v>0.0457975777493762</v>
      </c>
      <c r="C81" s="13" t="n">
        <f aca="false">C82/C79</f>
        <v>0.0530887268707393</v>
      </c>
      <c r="D81" s="13" t="n">
        <f aca="false">$C81+(Assumptions!$B$38-$C81)*MIN(1,D$77/Assumptions!$B$39)</f>
        <v>0.0553924845804929</v>
      </c>
      <c r="E81" s="13" t="n">
        <f aca="false">$C81+(Assumptions!$B$38-$C81)*MIN(1,E$77/Assumptions!$B$39)</f>
        <v>0.0576962422902465</v>
      </c>
      <c r="F81" s="13" t="n">
        <f aca="false">$C81+(Assumptions!$B$38-$C81)*MIN(1,F$77/Assumptions!$B$39)</f>
        <v>0.06</v>
      </c>
      <c r="G81" s="13" t="n">
        <f aca="false">$C81+(Assumptions!$B$38-$C81)*MIN(1,G$77/Assumptions!$B$39)</f>
        <v>0.06</v>
      </c>
      <c r="H81" s="13" t="n">
        <f aca="false">$C81+(Assumptions!$B$38-$C81)*MIN(1,H$77/Assumptions!$B$39)</f>
        <v>0.06</v>
      </c>
      <c r="I81" s="13" t="n">
        <f aca="false">$C81+(Assumptions!$B$38-$C81)*MIN(1,I$77/Assumptions!$B$39)</f>
        <v>0.06</v>
      </c>
      <c r="J81" s="13" t="n">
        <f aca="false">$C81+(Assumptions!$B$38-$C81)*MIN(1,J$77/Assumptions!$B$39)</f>
        <v>0.06</v>
      </c>
      <c r="K81" s="13" t="n">
        <f aca="false">$C81+(Assumptions!$B$38-$C81)*MIN(1,K$77/Assumptions!$B$39)</f>
        <v>0.06</v>
      </c>
      <c r="L81" s="13" t="n">
        <f aca="false">$C81+(Assumptions!$B$38-$C81)*MIN(1,L$77/Assumptions!$B$39)</f>
        <v>0.06</v>
      </c>
      <c r="M81" s="13" t="n">
        <f aca="false">$C81+(Assumptions!$B$38-$C81)*MIN(1,M$77/Assumptions!$B$39)</f>
        <v>0.06</v>
      </c>
    </row>
    <row r="82" customFormat="false" ht="14.25" hidden="false" customHeight="true" outlineLevel="0" collapsed="false">
      <c r="A82" s="6" t="s">
        <v>336</v>
      </c>
      <c r="B82" s="28" t="n">
        <f aca="false">L20</f>
        <v>1505</v>
      </c>
      <c r="C82" s="28" t="n">
        <f aca="false">M20</f>
        <v>2017</v>
      </c>
      <c r="D82" s="28" t="n">
        <f aca="false">D79*D81</f>
        <v>2525.432</v>
      </c>
      <c r="E82" s="28" t="n">
        <f aca="false">E79*E81</f>
        <v>3121.48394666667</v>
      </c>
      <c r="F82" s="28" t="n">
        <f aca="false">F79*F81</f>
        <v>3808.7830528</v>
      </c>
      <c r="G82" s="28" t="n">
        <f aca="false">G79*G81</f>
        <v>4418.188341248</v>
      </c>
      <c r="H82" s="28" t="n">
        <f aca="false">H79*H81</f>
        <v>5066.18929796437</v>
      </c>
      <c r="I82" s="28" t="n">
        <f aca="false">I79*I81</f>
        <v>5741.68120435962</v>
      </c>
      <c r="J82" s="28" t="n">
        <f aca="false">J79*J81</f>
        <v>6430.68294888278</v>
      </c>
      <c r="K82" s="28" t="n">
        <f aca="false">K79*K81</f>
        <v>7116.62246343028</v>
      </c>
      <c r="L82" s="28" t="n">
        <f aca="false">L79*L81</f>
        <v>7780.8405600171</v>
      </c>
      <c r="M82" s="28" t="n">
        <f aca="false">M79*M81</f>
        <v>8403.30780481847</v>
      </c>
    </row>
    <row r="83" customFormat="false" ht="14.25" hidden="false" customHeight="true" outlineLevel="0" collapsed="false">
      <c r="A83" s="6" t="s">
        <v>337</v>
      </c>
      <c r="B83" s="28" t="n">
        <f aca="false">L12</f>
        <v>9418</v>
      </c>
      <c r="C83" s="28" t="n">
        <f aca="false">M12</f>
        <v>11698</v>
      </c>
      <c r="D83" s="28" t="n">
        <f aca="false">D79*Assumptions!$B$40</f>
        <v>14817.27</v>
      </c>
      <c r="E83" s="28" t="n">
        <f aca="false">E79*Assumptions!$B$40</f>
        <v>17583.1604</v>
      </c>
      <c r="F83" s="28" t="n">
        <f aca="false">F79*Assumptions!$B$40</f>
        <v>20630.9082026667</v>
      </c>
      <c r="G83" s="28" t="n">
        <f aca="false">G79*Assumptions!$B$40</f>
        <v>23931.8535150933</v>
      </c>
      <c r="H83" s="28" t="n">
        <f aca="false">H79*Assumptions!$B$40</f>
        <v>27441.858697307</v>
      </c>
      <c r="I83" s="28" t="n">
        <f aca="false">I79*Assumptions!$B$40</f>
        <v>31100.7731902813</v>
      </c>
      <c r="J83" s="28" t="n">
        <f aca="false">J79*Assumptions!$B$40</f>
        <v>34832.8659731151</v>
      </c>
      <c r="K83" s="28" t="n">
        <f aca="false">K79*Assumptions!$B$40</f>
        <v>38548.371676914</v>
      </c>
      <c r="L83" s="28" t="n">
        <f aca="false">L79*Assumptions!$B$40</f>
        <v>42146.2197000926</v>
      </c>
      <c r="M83" s="28" t="n">
        <f aca="false">M79*Assumptions!$B$40</f>
        <v>45517.9172761</v>
      </c>
    </row>
    <row r="85" customFormat="false" ht="14.25" hidden="false" customHeight="true" outlineLevel="0" collapsed="false">
      <c r="A85" s="33" t="s">
        <v>338</v>
      </c>
    </row>
    <row r="86" customFormat="false" ht="14.25" hidden="false" customHeight="true" outlineLevel="0" collapsed="false">
      <c r="A86" s="6" t="s">
        <v>333</v>
      </c>
      <c r="B86" s="28" t="n">
        <f aca="false">L7</f>
        <v>22371</v>
      </c>
      <c r="C86" s="28" t="n">
        <f aca="false">M7</f>
        <v>48568</v>
      </c>
      <c r="D86" s="28" t="n">
        <f aca="false">C86*(1+D87)</f>
        <v>82565.6</v>
      </c>
      <c r="E86" s="28" t="n">
        <f aca="false">D86*(1+E87)</f>
        <v>134490.188444444</v>
      </c>
      <c r="F86" s="28" t="n">
        <f aca="false">E86*(1+F87)</f>
        <v>209505.826887901</v>
      </c>
      <c r="G86" s="28" t="n">
        <f aca="false">F86*(1+G87)</f>
        <v>311465.32930668</v>
      </c>
      <c r="H86" s="28" t="n">
        <f aca="false">G86*(1+H87)</f>
        <v>440896.477263011</v>
      </c>
      <c r="I86" s="28" t="n">
        <f aca="false">H86*(1+I87)</f>
        <v>592760.819431382</v>
      </c>
      <c r="J86" s="28" t="n">
        <f aca="false">I86*(1+J87)</f>
        <v>754782.11007596</v>
      </c>
      <c r="K86" s="28" t="n">
        <f aca="false">J86*(1+K87)</f>
        <v>907415.825669098</v>
      </c>
      <c r="L86" s="28" t="n">
        <f aca="false">K86*(1+L87)</f>
        <v>1026388.12281238</v>
      </c>
      <c r="M86" s="28" t="n">
        <f aca="false">L86*(1+M87)</f>
        <v>1087971.41018112</v>
      </c>
    </row>
    <row r="87" customFormat="false" ht="14.25" hidden="false" customHeight="true" outlineLevel="0" collapsed="false">
      <c r="A87" s="6" t="s">
        <v>334</v>
      </c>
      <c r="C87" s="13" t="n">
        <f aca="false">C86/B86-1</f>
        <v>1.1710249877073</v>
      </c>
      <c r="D87" s="13" t="n">
        <f aca="false">Assumptions!$B$42+(Assumptions!$B$43-Assumptions!$B$42)*(D$77-1)/9</f>
        <v>0.7</v>
      </c>
      <c r="E87" s="13" t="n">
        <f aca="false">Assumptions!$B$42+(Assumptions!$B$43-Assumptions!$B$42)*(E$77-1)/9</f>
        <v>0.628888888888889</v>
      </c>
      <c r="F87" s="13" t="n">
        <f aca="false">Assumptions!$B$42+(Assumptions!$B$43-Assumptions!$B$42)*(F$77-1)/9</f>
        <v>0.557777777777778</v>
      </c>
      <c r="G87" s="13" t="n">
        <f aca="false">Assumptions!$B$42+(Assumptions!$B$43-Assumptions!$B$42)*(G$77-1)/9</f>
        <v>0.486666666666667</v>
      </c>
      <c r="H87" s="13" t="n">
        <f aca="false">Assumptions!$B$42+(Assumptions!$B$43-Assumptions!$B$42)*(H$77-1)/9</f>
        <v>0.415555555555556</v>
      </c>
      <c r="I87" s="13" t="n">
        <f aca="false">Assumptions!$B$42+(Assumptions!$B$43-Assumptions!$B$42)*(I$77-1)/9</f>
        <v>0.344444444444445</v>
      </c>
      <c r="J87" s="13" t="n">
        <f aca="false">Assumptions!$B$42+(Assumptions!$B$43-Assumptions!$B$42)*(J$77-1)/9</f>
        <v>0.273333333333333</v>
      </c>
      <c r="K87" s="13" t="n">
        <f aca="false">Assumptions!$B$42+(Assumptions!$B$43-Assumptions!$B$42)*(K$77-1)/9</f>
        <v>0.202222222222222</v>
      </c>
      <c r="L87" s="13" t="n">
        <f aca="false">Assumptions!$B$42+(Assumptions!$B$43-Assumptions!$B$42)*(L$77-1)/9</f>
        <v>0.131111111111111</v>
      </c>
      <c r="M87" s="13" t="n">
        <f aca="false">Assumptions!$B$42+(Assumptions!$B$43-Assumptions!$B$42)*(M$77-1)/9</f>
        <v>0.0600000000000001</v>
      </c>
    </row>
    <row r="88" customFormat="false" ht="14.25" hidden="false" customHeight="true" outlineLevel="0" collapsed="false">
      <c r="A88" s="6" t="s">
        <v>335</v>
      </c>
      <c r="B88" s="13" t="n">
        <f aca="false">B89/B86</f>
        <v>-0.0130526127575879</v>
      </c>
      <c r="C88" s="13" t="n">
        <f aca="false">C89/C86</f>
        <v>-0.00570334376544227</v>
      </c>
      <c r="D88" s="13" t="n">
        <f aca="false">$C88+(Assumptions!$B$44-$C88)*MIN(1,D$77/Assumptions!$B$45)</f>
        <v>0.00543732498764619</v>
      </c>
      <c r="E88" s="13" t="n">
        <f aca="false">$C88+(Assumptions!$B$44-$C88)*MIN(1,E$77/Assumptions!$B$45)</f>
        <v>0.0165779937407346</v>
      </c>
      <c r="F88" s="13" t="n">
        <f aca="false">$C88+(Assumptions!$B$44-$C88)*MIN(1,F$77/Assumptions!$B$45)</f>
        <v>0.0277186624938231</v>
      </c>
      <c r="G88" s="13" t="n">
        <f aca="false">$C88+(Assumptions!$B$44-$C88)*MIN(1,G$77/Assumptions!$B$45)</f>
        <v>0.0388593312469116</v>
      </c>
      <c r="H88" s="13" t="n">
        <f aca="false">$C88+(Assumptions!$B$44-$C88)*MIN(1,H$77/Assumptions!$B$45)</f>
        <v>0.05</v>
      </c>
      <c r="I88" s="13" t="n">
        <f aca="false">$C88+(Assumptions!$B$44-$C88)*MIN(1,I$77/Assumptions!$B$45)</f>
        <v>0.05</v>
      </c>
      <c r="J88" s="13" t="n">
        <f aca="false">$C88+(Assumptions!$B$44-$C88)*MIN(1,J$77/Assumptions!$B$45)</f>
        <v>0.05</v>
      </c>
      <c r="K88" s="13" t="n">
        <f aca="false">$C88+(Assumptions!$B$44-$C88)*MIN(1,K$77/Assumptions!$B$45)</f>
        <v>0.05</v>
      </c>
      <c r="L88" s="13" t="n">
        <f aca="false">$C88+(Assumptions!$B$44-$C88)*MIN(1,L$77/Assumptions!$B$45)</f>
        <v>0.05</v>
      </c>
      <c r="M88" s="13" t="n">
        <f aca="false">$C88+(Assumptions!$B$44-$C88)*MIN(1,M$77/Assumptions!$B$45)</f>
        <v>0.05</v>
      </c>
    </row>
    <row r="89" customFormat="false" ht="14.25" hidden="false" customHeight="true" outlineLevel="0" collapsed="false">
      <c r="A89" s="6" t="s">
        <v>336</v>
      </c>
      <c r="B89" s="28" t="n">
        <f aca="false">L22</f>
        <v>-292</v>
      </c>
      <c r="C89" s="28" t="n">
        <f aca="false">M22</f>
        <v>-277</v>
      </c>
      <c r="D89" s="28" t="n">
        <f aca="false">D86*D88</f>
        <v>448.936</v>
      </c>
      <c r="E89" s="28" t="n">
        <f aca="false">E86*E88</f>
        <v>2229.57750222222</v>
      </c>
      <c r="F89" s="28" t="n">
        <f aca="false">F86*F88</f>
        <v>5807.22130599506</v>
      </c>
      <c r="G89" s="28" t="n">
        <f aca="false">G86*G88</f>
        <v>12103.3344034567</v>
      </c>
      <c r="H89" s="28" t="n">
        <f aca="false">H86*H88</f>
        <v>22044.8238631506</v>
      </c>
      <c r="I89" s="28" t="n">
        <f aca="false">I86*I88</f>
        <v>29638.0409715691</v>
      </c>
      <c r="J89" s="28" t="n">
        <f aca="false">J86*J88</f>
        <v>37739.105503798</v>
      </c>
      <c r="K89" s="28" t="n">
        <f aca="false">K86*K88</f>
        <v>45370.7912834549</v>
      </c>
      <c r="L89" s="28" t="n">
        <f aca="false">L86*L88</f>
        <v>51319.406140619</v>
      </c>
      <c r="M89" s="28" t="n">
        <f aca="false">M86*M88</f>
        <v>54398.5705090561</v>
      </c>
    </row>
    <row r="90" customFormat="false" ht="14.25" hidden="false" customHeight="true" outlineLevel="0" collapsed="false">
      <c r="A90" s="6" t="s">
        <v>337</v>
      </c>
      <c r="B90" s="28" t="n">
        <f aca="false">L14</f>
        <v>5206</v>
      </c>
      <c r="C90" s="28" t="n">
        <f aca="false">M14</f>
        <v>37779</v>
      </c>
      <c r="D90" s="28" t="n">
        <f aca="false">D86*Assumptions!$B$46</f>
        <v>75960.352</v>
      </c>
      <c r="E90" s="28" t="n">
        <f aca="false">E86*Assumptions!$B$46</f>
        <v>123730.973368889</v>
      </c>
      <c r="F90" s="28" t="n">
        <f aca="false">F86*Assumptions!$B$46</f>
        <v>192745.360736869</v>
      </c>
      <c r="G90" s="28" t="n">
        <f aca="false">G86*Assumptions!$B$46</f>
        <v>286548.102962145</v>
      </c>
      <c r="H90" s="28" t="n">
        <f aca="false">H86*Assumptions!$B$46</f>
        <v>405624.75908197</v>
      </c>
      <c r="I90" s="28" t="n">
        <f aca="false">I86*Assumptions!$B$46</f>
        <v>545339.953876871</v>
      </c>
      <c r="J90" s="28" t="n">
        <f aca="false">J86*Assumptions!$B$46</f>
        <v>694399.541269883</v>
      </c>
      <c r="K90" s="28" t="n">
        <f aca="false">K86*Assumptions!$B$46</f>
        <v>834822.55961557</v>
      </c>
      <c r="L90" s="28" t="n">
        <f aca="false">L86*Assumptions!$B$46</f>
        <v>944277.072987389</v>
      </c>
      <c r="M90" s="28" t="n">
        <f aca="false">M86*Assumptions!$B$46</f>
        <v>1000933.69736663</v>
      </c>
    </row>
    <row r="92" customFormat="false" ht="14.25" hidden="false" customHeight="true" outlineLevel="0" collapsed="false">
      <c r="A92" s="33" t="s">
        <v>339</v>
      </c>
    </row>
    <row r="93" customFormat="false" ht="14.25" hidden="false" customHeight="true" outlineLevel="0" collapsed="false">
      <c r="A93" s="6" t="s">
        <v>333</v>
      </c>
      <c r="B93" s="28" t="n">
        <f aca="false">L8</f>
        <v>6619</v>
      </c>
      <c r="C93" s="28" t="n">
        <f aca="false">M8</f>
        <v>9399</v>
      </c>
      <c r="D93" s="28" t="n">
        <f aca="false">C93*(1+D94)</f>
        <v>13158.6</v>
      </c>
      <c r="E93" s="28" t="n">
        <f aca="false">D93*(1+E94)</f>
        <v>17939.558</v>
      </c>
      <c r="F93" s="28" t="n">
        <f aca="false">E93*(1+F94)</f>
        <v>23799.8136133333</v>
      </c>
      <c r="G93" s="28" t="n">
        <f aca="false">F93*(1+G94)</f>
        <v>30701.7595612</v>
      </c>
      <c r="H93" s="28" t="n">
        <f aca="false">G93*(1+H94)</f>
        <v>38479.5386500373</v>
      </c>
      <c r="I93" s="28" t="n">
        <f aca="false">H93*(1+I94)</f>
        <v>46816.7720242121</v>
      </c>
      <c r="J93" s="28" t="n">
        <f aca="false">I93*(1+J94)</f>
        <v>55243.7909885703</v>
      </c>
      <c r="K93" s="28" t="n">
        <f aca="false">J93*(1+K94)</f>
        <v>63162.067696932</v>
      </c>
      <c r="L93" s="28" t="n">
        <f aca="false">K93*(1+L94)</f>
        <v>69899.3549179381</v>
      </c>
      <c r="M93" s="28" t="n">
        <f aca="false">L93*(1+M94)</f>
        <v>74792.3097621937</v>
      </c>
    </row>
    <row r="94" customFormat="false" ht="14.25" hidden="false" customHeight="true" outlineLevel="0" collapsed="false">
      <c r="A94" s="6" t="s">
        <v>334</v>
      </c>
      <c r="C94" s="13" t="n">
        <f aca="false">C93/B93-1</f>
        <v>0.420003021604472</v>
      </c>
      <c r="D94" s="13" t="n">
        <f aca="false">Assumptions!$B$48+(Assumptions!$B$49-Assumptions!$B$48)*(D$77-1)/9</f>
        <v>0.4</v>
      </c>
      <c r="E94" s="13" t="n">
        <f aca="false">Assumptions!$B$48+(Assumptions!$B$49-Assumptions!$B$48)*(E$77-1)/9</f>
        <v>0.363333333333333</v>
      </c>
      <c r="F94" s="13" t="n">
        <f aca="false">Assumptions!$B$48+(Assumptions!$B$49-Assumptions!$B$48)*(F$77-1)/9</f>
        <v>0.326666666666667</v>
      </c>
      <c r="G94" s="13" t="n">
        <f aca="false">Assumptions!$B$48+(Assumptions!$B$49-Assumptions!$B$48)*(G$77-1)/9</f>
        <v>0.29</v>
      </c>
      <c r="H94" s="13" t="n">
        <f aca="false">Assumptions!$B$48+(Assumptions!$B$49-Assumptions!$B$48)*(H$77-1)/9</f>
        <v>0.253333333333333</v>
      </c>
      <c r="I94" s="13" t="n">
        <f aca="false">Assumptions!$B$48+(Assumptions!$B$49-Assumptions!$B$48)*(I$77-1)/9</f>
        <v>0.216666666666667</v>
      </c>
      <c r="J94" s="13" t="n">
        <f aca="false">Assumptions!$B$48+(Assumptions!$B$49-Assumptions!$B$48)*(J$77-1)/9</f>
        <v>0.18</v>
      </c>
      <c r="K94" s="13" t="n">
        <f aca="false">Assumptions!$B$48+(Assumptions!$B$49-Assumptions!$B$48)*(K$77-1)/9</f>
        <v>0.143333333333333</v>
      </c>
      <c r="L94" s="13" t="n">
        <f aca="false">Assumptions!$B$48+(Assumptions!$B$49-Assumptions!$B$48)*(L$77-1)/9</f>
        <v>0.106666666666667</v>
      </c>
      <c r="M94" s="13" t="n">
        <f aca="false">Assumptions!$B$48+(Assumptions!$B$49-Assumptions!$B$48)*(M$77-1)/9</f>
        <v>0.07</v>
      </c>
    </row>
    <row r="95" customFormat="false" ht="14.25" hidden="false" customHeight="true" outlineLevel="0" collapsed="false">
      <c r="A95" s="6" t="s">
        <v>335</v>
      </c>
      <c r="B95" s="13" t="n">
        <f aca="false">B96/B93</f>
        <v>-0.00574104849675178</v>
      </c>
      <c r="C95" s="13" t="n">
        <f aca="false">C96/C93</f>
        <v>-0.0339397808277476</v>
      </c>
      <c r="D95" s="13" t="n">
        <f aca="false">$C95+(Assumptions!$B$50-$C95)*MIN(1,D$77/Assumptions!$B$51)</f>
        <v>-0.0191518246621981</v>
      </c>
      <c r="E95" s="13" t="n">
        <f aca="false">$C95+(Assumptions!$B$50-$C95)*MIN(1,E$77/Assumptions!$B$51)</f>
        <v>-0.00436386849664858</v>
      </c>
      <c r="F95" s="13" t="n">
        <f aca="false">$C95+(Assumptions!$B$50-$C95)*MIN(1,F$77/Assumptions!$B$51)</f>
        <v>0.0104240876689009</v>
      </c>
      <c r="G95" s="13" t="n">
        <f aca="false">$C95+(Assumptions!$B$50-$C95)*MIN(1,G$77/Assumptions!$B$51)</f>
        <v>0.0252120438344505</v>
      </c>
      <c r="H95" s="13" t="n">
        <f aca="false">$C95+(Assumptions!$B$50-$C95)*MIN(1,H$77/Assumptions!$B$51)</f>
        <v>0.04</v>
      </c>
      <c r="I95" s="13" t="n">
        <f aca="false">$C95+(Assumptions!$B$50-$C95)*MIN(1,I$77/Assumptions!$B$51)</f>
        <v>0.04</v>
      </c>
      <c r="J95" s="13" t="n">
        <f aca="false">$C95+(Assumptions!$B$50-$C95)*MIN(1,J$77/Assumptions!$B$51)</f>
        <v>0.04</v>
      </c>
      <c r="K95" s="13" t="n">
        <f aca="false">$C95+(Assumptions!$B$50-$C95)*MIN(1,K$77/Assumptions!$B$51)</f>
        <v>0.04</v>
      </c>
      <c r="L95" s="13" t="n">
        <f aca="false">$C95+(Assumptions!$B$50-$C95)*MIN(1,L$77/Assumptions!$B$51)</f>
        <v>0.04</v>
      </c>
      <c r="M95" s="13" t="n">
        <f aca="false">$C95+(Assumptions!$B$50-$C95)*MIN(1,M$77/Assumptions!$B$51)</f>
        <v>0.04</v>
      </c>
    </row>
    <row r="96" customFormat="false" ht="14.25" hidden="false" customHeight="true" outlineLevel="0" collapsed="false">
      <c r="A96" s="6" t="s">
        <v>336</v>
      </c>
      <c r="B96" s="28" t="n">
        <f aca="false">L23</f>
        <v>-38</v>
      </c>
      <c r="C96" s="28" t="n">
        <f aca="false">M23</f>
        <v>-319</v>
      </c>
      <c r="D96" s="28" t="n">
        <f aca="false">D93*D95</f>
        <v>-252.0112</v>
      </c>
      <c r="E96" s="28" t="n">
        <f aca="false">E93*E95</f>
        <v>-78.2858719999999</v>
      </c>
      <c r="F96" s="28" t="n">
        <f aca="false">F93*F95</f>
        <v>248.091343608889</v>
      </c>
      <c r="G96" s="28" t="n">
        <f aca="false">G93*G95</f>
        <v>774.054107851733</v>
      </c>
      <c r="H96" s="28" t="n">
        <f aca="false">H93*H95</f>
        <v>1539.18154600149</v>
      </c>
      <c r="I96" s="28" t="n">
        <f aca="false">I93*I95</f>
        <v>1872.67088096848</v>
      </c>
      <c r="J96" s="28" t="n">
        <f aca="false">J93*J95</f>
        <v>2209.75163954281</v>
      </c>
      <c r="K96" s="28" t="n">
        <f aca="false">K93*K95</f>
        <v>2526.48270787728</v>
      </c>
      <c r="L96" s="28" t="n">
        <f aca="false">L93*L95</f>
        <v>2795.97419671752</v>
      </c>
      <c r="M96" s="28" t="n">
        <f aca="false">M93*M95</f>
        <v>2991.69239048775</v>
      </c>
    </row>
    <row r="97" customFormat="false" ht="14.25" hidden="false" customHeight="true" outlineLevel="0" collapsed="false">
      <c r="A97" s="6" t="s">
        <v>337</v>
      </c>
      <c r="B97" s="28" t="n">
        <f aca="false">L15</f>
        <v>737</v>
      </c>
      <c r="C97" s="28" t="n">
        <f aca="false">M15</f>
        <v>973</v>
      </c>
      <c r="D97" s="28" t="n">
        <f aca="false">D93*Assumptions!$B$52</f>
        <v>1381.653</v>
      </c>
      <c r="E97" s="28" t="n">
        <f aca="false">E93*Assumptions!$B$52</f>
        <v>1883.65359</v>
      </c>
      <c r="F97" s="28" t="n">
        <f aca="false">F93*Assumptions!$B$52</f>
        <v>2498.9804294</v>
      </c>
      <c r="G97" s="28" t="n">
        <f aca="false">G93*Assumptions!$B$52</f>
        <v>3223.684753926</v>
      </c>
      <c r="H97" s="28" t="n">
        <f aca="false">H93*Assumptions!$B$52</f>
        <v>4040.35155825392</v>
      </c>
      <c r="I97" s="28" t="n">
        <f aca="false">I93*Assumptions!$B$52</f>
        <v>4915.76106254227</v>
      </c>
      <c r="J97" s="28" t="n">
        <f aca="false">J93*Assumptions!$B$52</f>
        <v>5800.59805379988</v>
      </c>
      <c r="K97" s="28" t="n">
        <f aca="false">K93*Assumptions!$B$52</f>
        <v>6632.01710817786</v>
      </c>
      <c r="L97" s="28" t="n">
        <f aca="false">L93*Assumptions!$B$52</f>
        <v>7339.4322663835</v>
      </c>
      <c r="M97" s="28" t="n">
        <f aca="false">M93*Assumptions!$B$52</f>
        <v>7853.19252503034</v>
      </c>
    </row>
    <row r="99" customFormat="false" ht="14.25" hidden="false" customHeight="true" outlineLevel="0" collapsed="false">
      <c r="A99" s="33" t="s">
        <v>340</v>
      </c>
    </row>
    <row r="100" customFormat="false" ht="14.25" hidden="false" customHeight="true" outlineLevel="0" collapsed="false">
      <c r="A100" s="6" t="s">
        <v>341</v>
      </c>
      <c r="B100" s="28" t="n">
        <f aca="false">L13</f>
        <v>6196</v>
      </c>
      <c r="C100" s="28" t="n">
        <f aca="false">M13</f>
        <v>5366</v>
      </c>
      <c r="D100" s="15" t="n">
        <f aca="false">Assumptions!$B$54</f>
        <v>4400</v>
      </c>
      <c r="E100" s="28" t="n">
        <f aca="false">D100*(1+E101)</f>
        <v>5368</v>
      </c>
      <c r="F100" s="28" t="n">
        <f aca="false">E100*(1+F101)</f>
        <v>6448.31</v>
      </c>
      <c r="G100" s="28" t="n">
        <f aca="false">F100*(1+G101)</f>
        <v>7625.126575</v>
      </c>
      <c r="H100" s="28" t="n">
        <f aca="false">G100*(1+H101)</f>
        <v>8873.74105165625</v>
      </c>
      <c r="I100" s="28" t="n">
        <f aca="false">H100*(1+I101)</f>
        <v>10160.4335041464</v>
      </c>
      <c r="J100" s="28" t="n">
        <f aca="false">I100*(1+J101)</f>
        <v>11443.1882340449</v>
      </c>
      <c r="K100" s="28" t="n">
        <f aca="false">J100*(1+K101)</f>
        <v>12673.3309692047</v>
      </c>
      <c r="L100" s="28" t="n">
        <f aca="false">K100*(1+L101)</f>
        <v>13798.0890927216</v>
      </c>
      <c r="M100" s="28" t="n">
        <f aca="false">L100*(1+M101)</f>
        <v>14763.9553292122</v>
      </c>
    </row>
    <row r="101" customFormat="false" ht="14.25" hidden="false" customHeight="true" outlineLevel="0" collapsed="false">
      <c r="A101" s="6" t="s">
        <v>342</v>
      </c>
      <c r="C101" s="13" t="n">
        <f aca="false">C100/B100-1</f>
        <v>-0.13395739186572</v>
      </c>
      <c r="D101" s="13" t="n">
        <f aca="false">D100/C100-1</f>
        <v>-0.180022363026463</v>
      </c>
      <c r="E101" s="13" t="n">
        <f aca="false">Assumptions!$B$55+(Assumptions!$B$56-Assumptions!$B$55)*(E$77-2)/8</f>
        <v>0.22</v>
      </c>
      <c r="F101" s="13" t="n">
        <f aca="false">Assumptions!$B$55+(Assumptions!$B$56-Assumptions!$B$55)*(F$77-2)/8</f>
        <v>0.20125</v>
      </c>
      <c r="G101" s="13" t="n">
        <f aca="false">Assumptions!$B$55+(Assumptions!$B$56-Assumptions!$B$55)*(G$77-2)/8</f>
        <v>0.1825</v>
      </c>
      <c r="H101" s="13" t="n">
        <f aca="false">Assumptions!$B$55+(Assumptions!$B$56-Assumptions!$B$55)*(H$77-2)/8</f>
        <v>0.16375</v>
      </c>
      <c r="I101" s="13" t="n">
        <f aca="false">Assumptions!$B$55+(Assumptions!$B$56-Assumptions!$B$55)*(I$77-2)/8</f>
        <v>0.145</v>
      </c>
      <c r="J101" s="13" t="n">
        <f aca="false">Assumptions!$B$55+(Assumptions!$B$56-Assumptions!$B$55)*(J$77-2)/8</f>
        <v>0.12625</v>
      </c>
      <c r="K101" s="13" t="n">
        <f aca="false">Assumptions!$B$55+(Assumptions!$B$56-Assumptions!$B$55)*(K$77-2)/8</f>
        <v>0.1075</v>
      </c>
      <c r="L101" s="13" t="n">
        <f aca="false">Assumptions!$B$55+(Assumptions!$B$56-Assumptions!$B$55)*(L$77-2)/8</f>
        <v>0.08875</v>
      </c>
      <c r="M101" s="13" t="n">
        <f aca="false">Assumptions!$B$55+(Assumptions!$B$56-Assumptions!$B$55)*(M$77-2)/8</f>
        <v>0.07</v>
      </c>
      <c r="N101" s="6" t="s">
        <v>343</v>
      </c>
    </row>
    <row r="102" customFormat="false" ht="14.25" hidden="false" customHeight="true" outlineLevel="0" collapsed="false">
      <c r="A102" s="6" t="s">
        <v>344</v>
      </c>
      <c r="B102" s="13" t="n">
        <f aca="false">B103/B100</f>
        <v>-0.013557133634603</v>
      </c>
      <c r="C102" s="13" t="n">
        <f aca="false">C103/C100</f>
        <v>-0.00316809541557958</v>
      </c>
      <c r="D102" s="42" t="n">
        <f aca="false">Assumptions!$B$57</f>
        <v>0.005</v>
      </c>
      <c r="E102" s="13" t="n">
        <f aca="false">$D102+(Assumptions!$B$58-$D102)*MIN(1,(E$77-1)/(Assumptions!$B$59-1))</f>
        <v>0.0075</v>
      </c>
      <c r="F102" s="13" t="n">
        <f aca="false">$D102+(Assumptions!$B$58-$D102)*MIN(1,(F$77-1)/(Assumptions!$B$59-1))</f>
        <v>0.01</v>
      </c>
      <c r="G102" s="13" t="n">
        <f aca="false">$D102+(Assumptions!$B$58-$D102)*MIN(1,(G$77-1)/(Assumptions!$B$59-1))</f>
        <v>0.0125</v>
      </c>
      <c r="H102" s="13" t="n">
        <f aca="false">$D102+(Assumptions!$B$58-$D102)*MIN(1,(H$77-1)/(Assumptions!$B$59-1))</f>
        <v>0.015</v>
      </c>
      <c r="I102" s="13" t="n">
        <f aca="false">$D102+(Assumptions!$B$58-$D102)*MIN(1,(I$77-1)/(Assumptions!$B$59-1))</f>
        <v>0.015</v>
      </c>
      <c r="J102" s="13" t="n">
        <f aca="false">$D102+(Assumptions!$B$58-$D102)*MIN(1,(J$77-1)/(Assumptions!$B$59-1))</f>
        <v>0.015</v>
      </c>
      <c r="K102" s="13" t="n">
        <f aca="false">$D102+(Assumptions!$B$58-$D102)*MIN(1,(K$77-1)/(Assumptions!$B$59-1))</f>
        <v>0.015</v>
      </c>
      <c r="L102" s="13" t="n">
        <f aca="false">$D102+(Assumptions!$B$58-$D102)*MIN(1,(L$77-1)/(Assumptions!$B$59-1))</f>
        <v>0.015</v>
      </c>
      <c r="M102" s="13" t="n">
        <f aca="false">$D102+(Assumptions!$B$58-$D102)*MIN(1,(M$77-1)/(Assumptions!$B$59-1))</f>
        <v>0.015</v>
      </c>
    </row>
    <row r="103" customFormat="false" ht="14.25" hidden="false" customHeight="true" outlineLevel="0" collapsed="false">
      <c r="A103" s="6" t="s">
        <v>336</v>
      </c>
      <c r="B103" s="28" t="n">
        <f aca="false">L21</f>
        <v>-84</v>
      </c>
      <c r="C103" s="28" t="n">
        <f aca="false">M21</f>
        <v>-17</v>
      </c>
      <c r="D103" s="28" t="n">
        <f aca="false">D100*D102</f>
        <v>22</v>
      </c>
      <c r="E103" s="28" t="n">
        <f aca="false">E100*E102</f>
        <v>40.26</v>
      </c>
      <c r="F103" s="28" t="n">
        <f aca="false">F100*F102</f>
        <v>64.4831</v>
      </c>
      <c r="G103" s="28" t="n">
        <f aca="false">G100*G102</f>
        <v>95.3140821875</v>
      </c>
      <c r="H103" s="28" t="n">
        <f aca="false">H100*H102</f>
        <v>133.106115774844</v>
      </c>
      <c r="I103" s="28" t="n">
        <f aca="false">I100*I102</f>
        <v>152.406502562196</v>
      </c>
      <c r="J103" s="28" t="n">
        <f aca="false">J100*J102</f>
        <v>171.647823510673</v>
      </c>
      <c r="K103" s="28" t="n">
        <f aca="false">K100*K102</f>
        <v>190.099964538071</v>
      </c>
      <c r="L103" s="28" t="n">
        <f aca="false">L100*L102</f>
        <v>206.971336390825</v>
      </c>
      <c r="M103" s="28" t="n">
        <f aca="false">M100*M102</f>
        <v>221.459329938182</v>
      </c>
    </row>
    <row r="105" customFormat="false" ht="14.25" hidden="false" customHeight="true" outlineLevel="0" collapsed="false">
      <c r="A105" s="33" t="s">
        <v>345</v>
      </c>
    </row>
    <row r="106" customFormat="false" ht="14.25" hidden="false" customHeight="true" outlineLevel="0" collapsed="false">
      <c r="A106" s="5" t="s">
        <v>346</v>
      </c>
      <c r="B106" s="41" t="n">
        <f aca="false">B79+B86+B93</f>
        <v>61852</v>
      </c>
      <c r="C106" s="41" t="n">
        <f aca="false">C79+C86+C93</f>
        <v>95960</v>
      </c>
      <c r="D106" s="41" t="n">
        <f aca="false">D79+D86+D93</f>
        <v>141315.8</v>
      </c>
      <c r="E106" s="41" t="n">
        <f aca="false">E79+E86+E93</f>
        <v>206531.778444444</v>
      </c>
      <c r="F106" s="41" t="n">
        <f aca="false">F79+F86+F93</f>
        <v>296785.358047901</v>
      </c>
      <c r="G106" s="41" t="n">
        <f aca="false">G79+G86+G93</f>
        <v>415803.561222013</v>
      </c>
      <c r="H106" s="41" t="n">
        <f aca="false">H79+H86+H93</f>
        <v>563812.504212455</v>
      </c>
      <c r="I106" s="41" t="n">
        <f aca="false">I79+I86+I93</f>
        <v>735272.278194921</v>
      </c>
      <c r="J106" s="41" t="n">
        <f aca="false">J79+J86+J93</f>
        <v>917203.950212576</v>
      </c>
      <c r="K106" s="41" t="n">
        <f aca="false">K79+K86+K93</f>
        <v>1089188.26775653</v>
      </c>
      <c r="L106" s="41" t="n">
        <f aca="false">L79+L86+L93</f>
        <v>1225968.1537306</v>
      </c>
      <c r="M106" s="41" t="n">
        <f aca="false">M79+M86+M93</f>
        <v>1302818.85002362</v>
      </c>
    </row>
    <row r="107" customFormat="false" ht="14.25" hidden="false" customHeight="true" outlineLevel="0" collapsed="false">
      <c r="A107" s="6" t="s">
        <v>347</v>
      </c>
      <c r="C107" s="13" t="n">
        <f aca="false">C106/B106-1</f>
        <v>0.551445385759555</v>
      </c>
      <c r="D107" s="13" t="n">
        <f aca="false">D106/C106-1</f>
        <v>0.472653188828678</v>
      </c>
      <c r="E107" s="13" t="n">
        <f aca="false">E106/D106-1</f>
        <v>0.461491060762098</v>
      </c>
      <c r="F107" s="13" t="n">
        <f aca="false">F106/E106-1</f>
        <v>0.436996089818373</v>
      </c>
      <c r="G107" s="13" t="n">
        <f aca="false">G106/F106-1</f>
        <v>0.401024511306593</v>
      </c>
      <c r="H107" s="13" t="n">
        <f aca="false">H106/G106-1</f>
        <v>0.355958815156502</v>
      </c>
      <c r="I107" s="13" t="n">
        <f aca="false">I106/H106-1</f>
        <v>0.304107788850772</v>
      </c>
      <c r="J107" s="13" t="n">
        <f aca="false">J106/I106-1</f>
        <v>0.24743442315586</v>
      </c>
      <c r="K107" s="13" t="n">
        <f aca="false">K106/J106-1</f>
        <v>0.187509351114437</v>
      </c>
      <c r="L107" s="13" t="n">
        <f aca="false">L106/K106-1</f>
        <v>0.125579654154559</v>
      </c>
      <c r="M107" s="13" t="n">
        <f aca="false">M106/L106-1</f>
        <v>0.0626857199015862</v>
      </c>
    </row>
    <row r="108" customFormat="false" ht="14.25" hidden="false" customHeight="true" outlineLevel="0" collapsed="false">
      <c r="A108" s="5" t="s">
        <v>337</v>
      </c>
      <c r="B108" s="41" t="n">
        <f aca="false">B83+B90+B97+B100+B117</f>
        <v>21581</v>
      </c>
      <c r="C108" s="41" t="n">
        <f aca="false">C83+C90+C97+C100+C117</f>
        <v>55903</v>
      </c>
      <c r="D108" s="41" t="n">
        <f aca="false">D83+D90+D97+D100+D117</f>
        <v>96983.2224</v>
      </c>
      <c r="E108" s="41" t="n">
        <f aca="false">E83+E90+E97+E100+E117</f>
        <v>149185.382694222</v>
      </c>
      <c r="F108" s="41" t="n">
        <f aca="false">F83+F90+F97+F100+F117</f>
        <v>223213.915443079</v>
      </c>
      <c r="G108" s="41" t="n">
        <f aca="false">G83+G90+G97+G100+G117</f>
        <v>322576.178489831</v>
      </c>
      <c r="H108" s="41" t="n">
        <f aca="false">H83+H90+H97+H100+H117</f>
        <v>447672.147901825</v>
      </c>
      <c r="I108" s="41" t="n">
        <f aca="false">I83+I90+I97+I100+I117</f>
        <v>593722.738468426</v>
      </c>
      <c r="J108" s="41" t="n">
        <f aca="false">J83+J90+J97+J100+J117</f>
        <v>749227.80538148</v>
      </c>
      <c r="K108" s="41" t="n">
        <f aca="false">K83+K90+K97+K100+K117</f>
        <v>895943.844173136</v>
      </c>
      <c r="L108" s="41" t="n">
        <f aca="false">L83+L90+L97+L100+L117</f>
        <v>1011238.71850778</v>
      </c>
      <c r="M108" s="41" t="n">
        <f aca="false">M83+M90+M97+M100+M117</f>
        <v>1072977.21904705</v>
      </c>
    </row>
    <row r="109" customFormat="false" ht="14.25" hidden="false" customHeight="true" outlineLevel="0" collapsed="false">
      <c r="A109" s="6" t="s">
        <v>348</v>
      </c>
      <c r="C109" s="13" t="n">
        <f aca="false">C108/B108-1</f>
        <v>1.59038042722765</v>
      </c>
      <c r="D109" s="13" t="n">
        <f aca="false">D108/C108-1</f>
        <v>0.734848262168399</v>
      </c>
      <c r="E109" s="13" t="n">
        <f aca="false">E108/D108-1</f>
        <v>0.538259701032807</v>
      </c>
      <c r="F109" s="13" t="n">
        <f aca="false">F108/E108-1</f>
        <v>0.496218405663709</v>
      </c>
      <c r="G109" s="13" t="n">
        <f aca="false">G108/F108-1</f>
        <v>0.445143676860456</v>
      </c>
      <c r="H109" s="13" t="n">
        <f aca="false">H108/G108-1</f>
        <v>0.387802874960086</v>
      </c>
      <c r="I109" s="13" t="n">
        <f aca="false">I108/H108-1</f>
        <v>0.326244532413105</v>
      </c>
      <c r="J109" s="13" t="n">
        <f aca="false">J108/I108-1</f>
        <v>0.261915296210815</v>
      </c>
      <c r="K109" s="13" t="n">
        <f aca="false">K108/J108-1</f>
        <v>0.195823003014355</v>
      </c>
      <c r="L109" s="13" t="n">
        <f aca="false">L108/K108-1</f>
        <v>0.128685380322076</v>
      </c>
      <c r="M109" s="13" t="n">
        <f aca="false">M108/L108-1</f>
        <v>0.0610523503593401</v>
      </c>
    </row>
    <row r="110" customFormat="false" ht="14.25" hidden="false" customHeight="true" outlineLevel="0" collapsed="false">
      <c r="A110" s="5" t="s">
        <v>349</v>
      </c>
      <c r="B110" s="41" t="n">
        <f aca="false">B82+B89+B96+B103+B116</f>
        <v>1079</v>
      </c>
      <c r="C110" s="41" t="n">
        <f aca="false">C82+C89+C96+C103+C116</f>
        <v>1189</v>
      </c>
      <c r="D110" s="41" t="n">
        <f aca="false">D82+D89+D96+D103+D116</f>
        <v>2391.0673</v>
      </c>
      <c r="E110" s="41" t="n">
        <f aca="false">E82+E89+E96+E103+E116</f>
        <v>4796.70613077778</v>
      </c>
      <c r="F110" s="41" t="n">
        <f aca="false">F82+F89+F96+F103+F116</f>
        <v>9186.6154072842</v>
      </c>
      <c r="G110" s="41" t="n">
        <f aca="false">G82+G89+G96+G103+G116</f>
        <v>16351.3820316889</v>
      </c>
      <c r="H110" s="41" t="n">
        <f aca="false">H82+H89+H96+H103+H116</f>
        <v>27373.7695623601</v>
      </c>
      <c r="I110" s="41" t="n">
        <f aca="false">I82+I89+I96+I103+I116</f>
        <v>35566.6188639721</v>
      </c>
      <c r="J110" s="41" t="n">
        <f aca="false">J82+J89+J96+J103+J116</f>
        <v>44258.1780402028</v>
      </c>
      <c r="K110" s="41" t="n">
        <f aca="false">K82+K89+K96+K103+K116</f>
        <v>52481.0257499092</v>
      </c>
      <c r="L110" s="41" t="n">
        <f aca="false">L82+L89+L96+L103+L116</f>
        <v>59038.2718494179</v>
      </c>
      <c r="M110" s="41" t="n">
        <f aca="false">M82+M89+M96+M103+M116</f>
        <v>62757.9829092415</v>
      </c>
      <c r="N110" s="6" t="s">
        <v>350</v>
      </c>
    </row>
    <row r="111" customFormat="false" ht="14.25" hidden="false" customHeight="true" outlineLevel="0" collapsed="false">
      <c r="A111" s="6" t="s">
        <v>351</v>
      </c>
      <c r="B111" s="24" t="n">
        <f aca="false">B110/B106</f>
        <v>0.0174448683955248</v>
      </c>
      <c r="C111" s="24" t="n">
        <f aca="false">C110/C106</f>
        <v>0.0123905794080867</v>
      </c>
      <c r="D111" s="24" t="n">
        <f aca="false">D110/D106</f>
        <v>0.0169200280506497</v>
      </c>
      <c r="E111" s="24" t="n">
        <f aca="false">E110/E106</f>
        <v>0.0232250270002302</v>
      </c>
      <c r="F111" s="24" t="n">
        <f aca="false">F110/F106</f>
        <v>0.0309537352776058</v>
      </c>
      <c r="G111" s="24" t="n">
        <f aca="false">G110/G106</f>
        <v>0.039324776304545</v>
      </c>
      <c r="H111" s="24" t="n">
        <f aca="false">H110/H106</f>
        <v>0.048551192741985</v>
      </c>
      <c r="I111" s="24" t="n">
        <f aca="false">I110/I106</f>
        <v>0.0483720383845933</v>
      </c>
      <c r="J111" s="24" t="n">
        <f aca="false">J110/J106</f>
        <v>0.0482533661460412</v>
      </c>
      <c r="K111" s="24" t="n">
        <f aca="false">K110/K106</f>
        <v>0.0481836127908424</v>
      </c>
      <c r="L111" s="24" t="n">
        <f aca="false">L110/L106</f>
        <v>0.0481564481669164</v>
      </c>
      <c r="M111" s="24" t="n">
        <f aca="false">M110/M106</f>
        <v>0.0481709202381463</v>
      </c>
    </row>
    <row r="112" customFormat="false" ht="14.25" hidden="false" customHeight="true" outlineLevel="0" collapsed="false">
      <c r="A112" s="6" t="s">
        <v>352</v>
      </c>
      <c r="B112" s="24" t="n">
        <f aca="false">B110/B108</f>
        <v>0.0499976831472128</v>
      </c>
      <c r="C112" s="24" t="n">
        <f aca="false">C110/C108</f>
        <v>0.0212689837754682</v>
      </c>
      <c r="D112" s="24" t="n">
        <f aca="false">D110/D108</f>
        <v>0.0246544427049271</v>
      </c>
      <c r="E112" s="24" t="n">
        <f aca="false">E110/E108</f>
        <v>0.0321526549327513</v>
      </c>
      <c r="F112" s="24" t="n">
        <f aca="false">F110/F108</f>
        <v>0.0411561052949982</v>
      </c>
      <c r="G112" s="24" t="n">
        <f aca="false">G110/G108</f>
        <v>0.0506899861863307</v>
      </c>
      <c r="H112" s="24" t="n">
        <f aca="false">H110/H108</f>
        <v>0.0611469122898466</v>
      </c>
      <c r="I112" s="24" t="n">
        <f aca="false">I110/I108</f>
        <v>0.0599044243373938</v>
      </c>
      <c r="J112" s="24" t="n">
        <f aca="false">J110/J108</f>
        <v>0.0590717238766494</v>
      </c>
      <c r="K112" s="24" t="n">
        <f aca="false">K110/K108</f>
        <v>0.0585762445841053</v>
      </c>
      <c r="L112" s="24" t="n">
        <f aca="false">L110/L108</f>
        <v>0.0583821315075208</v>
      </c>
      <c r="M112" s="24" t="n">
        <f aca="false">M110/M108</f>
        <v>0.058489576288469</v>
      </c>
    </row>
    <row r="113" customFormat="false" ht="14.25" hidden="false" customHeight="true" outlineLevel="0" collapsed="false">
      <c r="A113" s="6" t="s">
        <v>353</v>
      </c>
      <c r="B113" s="28" t="n">
        <f aca="false">B110*10/Assumptions!$B$28</f>
        <v>114.059196617336</v>
      </c>
      <c r="C113" s="28" t="n">
        <f aca="false">C110*10/Assumptions!$B$28</f>
        <v>125.68710359408</v>
      </c>
      <c r="D113" s="28" t="n">
        <f aca="false">D110*10/Assumptions!$B$28</f>
        <v>252.755528541226</v>
      </c>
      <c r="E113" s="28" t="n">
        <f aca="false">E110*10/Assumptions!$B$28</f>
        <v>507.051388031478</v>
      </c>
      <c r="F113" s="28" t="n">
        <f aca="false">F110*10/Assumptions!$B$28</f>
        <v>971.100994427505</v>
      </c>
      <c r="G113" s="28" t="n">
        <f aca="false">G110*10/Assumptions!$B$28</f>
        <v>1728.47590186986</v>
      </c>
      <c r="H113" s="28" t="n">
        <f aca="false">H110*10/Assumptions!$B$28</f>
        <v>2893.63314612686</v>
      </c>
      <c r="I113" s="28" t="n">
        <f aca="false">I110*10/Assumptions!$B$28</f>
        <v>3759.68486934166</v>
      </c>
      <c r="J113" s="28" t="n">
        <f aca="false">J110*10/Assumptions!$B$28</f>
        <v>4678.45433828782</v>
      </c>
      <c r="K113" s="28" t="n">
        <f aca="false">K110*10/Assumptions!$B$28</f>
        <v>5547.67714058237</v>
      </c>
      <c r="L113" s="28" t="n">
        <f aca="false">L110*10/Assumptions!$B$28</f>
        <v>6240.83211938879</v>
      </c>
      <c r="M113" s="28" t="n">
        <f aca="false">M110*10/Assumptions!$B$28</f>
        <v>6634.03624833419</v>
      </c>
    </row>
    <row r="114" customFormat="false" ht="14.25" hidden="false" customHeight="true" outlineLevel="0" collapsed="false">
      <c r="A114" s="6" t="s">
        <v>354</v>
      </c>
      <c r="B114" s="43" t="n">
        <f aca="false">B106*10/Assumptions!$B$28/1000</f>
        <v>6.53826638477801</v>
      </c>
      <c r="C114" s="43" t="n">
        <f aca="false">C106*10/Assumptions!$B$28/1000</f>
        <v>10.1437632135307</v>
      </c>
      <c r="D114" s="43" t="n">
        <f aca="false">D106*10/Assumptions!$B$28/1000</f>
        <v>14.938245243129</v>
      </c>
      <c r="E114" s="43" t="n">
        <f aca="false">E106*10/Assumptions!$B$28/1000</f>
        <v>21.8321118863049</v>
      </c>
      <c r="F114" s="43" t="n">
        <f aca="false">F106*10/Assumptions!$B$28/1000</f>
        <v>31.3726594130974</v>
      </c>
      <c r="G114" s="43" t="n">
        <f aca="false">G106*10/Assumptions!$B$28/1000</f>
        <v>43.953864822623</v>
      </c>
      <c r="H114" s="43" t="n">
        <f aca="false">H106*10/Assumptions!$B$28/1000</f>
        <v>59.5996304664329</v>
      </c>
      <c r="I114" s="43" t="n">
        <f aca="false">I106*10/Assumptions!$B$28/1000</f>
        <v>77.7243423039028</v>
      </c>
      <c r="J114" s="43" t="n">
        <f aca="false">J106*10/Assumptions!$B$28/1000</f>
        <v>96.9560201070376</v>
      </c>
      <c r="K114" s="43" t="n">
        <f aca="false">K106*10/Assumptions!$B$28/1000</f>
        <v>115.136180523947</v>
      </c>
      <c r="L114" s="43" t="n">
        <f aca="false">L106*10/Assumptions!$B$28/1000</f>
        <v>129.594942254821</v>
      </c>
      <c r="M114" s="43" t="n">
        <f aca="false">M106*10/Assumptions!$B$28/1000</f>
        <v>137.718694505669</v>
      </c>
      <c r="N114" s="6" t="s">
        <v>355</v>
      </c>
    </row>
    <row r="116" customFormat="false" ht="14.25" hidden="false" customHeight="true" outlineLevel="0" collapsed="false">
      <c r="A116" s="6" t="s">
        <v>356</v>
      </c>
      <c r="B116" s="28" t="n">
        <f aca="false">L24</f>
        <v>-12</v>
      </c>
      <c r="C116" s="28" t="n">
        <f aca="false">M24</f>
        <v>-215</v>
      </c>
      <c r="D116" s="28" t="n">
        <f aca="false">-Assumptions!$B$61*D106</f>
        <v>-353.2895</v>
      </c>
      <c r="E116" s="28" t="n">
        <f aca="false">-Assumptions!$B$61*E106</f>
        <v>-516.329446111111</v>
      </c>
      <c r="F116" s="28" t="n">
        <f aca="false">-Assumptions!$B$61*F106</f>
        <v>-741.963395119753</v>
      </c>
      <c r="G116" s="28" t="n">
        <f aca="false">-Assumptions!$B$61*G106</f>
        <v>-1039.50890305503</v>
      </c>
      <c r="H116" s="28" t="n">
        <f aca="false">-Assumptions!$B$61*H106</f>
        <v>-1409.53126053114</v>
      </c>
      <c r="I116" s="28" t="n">
        <f aca="false">-Assumptions!$B$61*I106</f>
        <v>-1838.1806954873</v>
      </c>
      <c r="J116" s="28" t="n">
        <f aca="false">-Assumptions!$B$61*J106</f>
        <v>-2293.00987553144</v>
      </c>
      <c r="K116" s="28" t="n">
        <f aca="false">-Assumptions!$B$61*K106</f>
        <v>-2722.97066939134</v>
      </c>
      <c r="L116" s="28" t="n">
        <f aca="false">-Assumptions!$B$61*L106</f>
        <v>-3064.92038432651</v>
      </c>
      <c r="M116" s="28" t="n">
        <f aca="false">-Assumptions!$B$61*M106</f>
        <v>-3257.04712505906</v>
      </c>
    </row>
    <row r="117" customFormat="false" ht="14.25" hidden="false" customHeight="true" outlineLevel="0" collapsed="false">
      <c r="A117" s="6" t="s">
        <v>357</v>
      </c>
      <c r="B117" s="28" t="n">
        <f aca="false">L16</f>
        <v>24</v>
      </c>
      <c r="C117" s="28" t="n">
        <f aca="false">M16</f>
        <v>87</v>
      </c>
      <c r="D117" s="28" t="n">
        <f aca="false">Assumptions!$B$62*D106</f>
        <v>423.9474</v>
      </c>
      <c r="E117" s="28" t="n">
        <f aca="false">Assumptions!$B$62*E106</f>
        <v>619.595335333333</v>
      </c>
      <c r="F117" s="28" t="n">
        <f aca="false">Assumptions!$B$62*F106</f>
        <v>890.356074143704</v>
      </c>
      <c r="G117" s="28" t="n">
        <f aca="false">Assumptions!$B$62*G106</f>
        <v>1247.41068366604</v>
      </c>
      <c r="H117" s="28" t="n">
        <f aca="false">Assumptions!$B$62*H106</f>
        <v>1691.43751263736</v>
      </c>
      <c r="I117" s="28" t="n">
        <f aca="false">Assumptions!$B$62*I106</f>
        <v>2205.81683458476</v>
      </c>
      <c r="J117" s="28" t="n">
        <f aca="false">Assumptions!$B$62*J106</f>
        <v>2751.61185063773</v>
      </c>
      <c r="K117" s="28" t="n">
        <f aca="false">Assumptions!$B$62*K106</f>
        <v>3267.5648032696</v>
      </c>
      <c r="L117" s="28" t="n">
        <f aca="false">Assumptions!$B$62*L106</f>
        <v>3677.90446119181</v>
      </c>
      <c r="M117" s="28" t="n">
        <f aca="false">Assumptions!$B$62*M106</f>
        <v>3908.45655007087</v>
      </c>
    </row>
    <row r="119" customFormat="false" ht="14.25" hidden="false" customHeight="true" outlineLevel="0" collapsed="false">
      <c r="A119" s="6" t="s">
        <v>358</v>
      </c>
      <c r="C119" s="28" t="n">
        <f aca="false">C108-M17</f>
        <v>0</v>
      </c>
    </row>
    <row r="120" customFormat="false" ht="14.25" hidden="false" customHeight="true" outlineLevel="0" collapsed="false">
      <c r="A120" s="6" t="s">
        <v>359</v>
      </c>
      <c r="C120" s="28" t="n">
        <f aca="false">C110-M25</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2" width="52"/>
    <col collapsed="false" customWidth="true" hidden="false" outlineLevel="0" max="13" min="2" style="2" width="12.5"/>
    <col collapsed="false" customWidth="true" hidden="false" outlineLevel="0" max="14" min="14" style="2" width="60"/>
  </cols>
  <sheetData>
    <row r="1" customFormat="false" ht="15.75" hidden="false" customHeight="true" outlineLevel="0" collapsed="false">
      <c r="A1" s="20" t="s">
        <v>360</v>
      </c>
    </row>
    <row r="2" customFormat="false" ht="14.25" hidden="false" customHeight="true" outlineLevel="0" collapsed="false">
      <c r="A2" s="8" t="str">
        <f aca="false">"DCF &amp; SOTP | active scenario: "&amp;Assumptions!B32&amp;" | valuation date "&amp;TEXT(Assumptions!B25,"dd-mmm-yyyy")</f>
        <v>DCF &amp; SOTP | active scenario: Base | valuation date 30-Jun-2026</v>
      </c>
    </row>
    <row r="3" customFormat="false" ht="14.25" hidden="false" customHeight="true" outlineLevel="0" collapsed="false">
      <c r="A3" s="8" t="s">
        <v>361</v>
      </c>
    </row>
    <row r="4" customFormat="false" ht="14.25" hidden="false" customHeight="true" outlineLevel="0" collapsed="false">
      <c r="A4" s="9" t="s">
        <v>362</v>
      </c>
      <c r="B4" s="9"/>
      <c r="C4" s="9" t="s">
        <v>253</v>
      </c>
      <c r="D4" s="9" t="s">
        <v>321</v>
      </c>
      <c r="E4" s="9" t="s">
        <v>322</v>
      </c>
      <c r="F4" s="9" t="s">
        <v>323</v>
      </c>
      <c r="G4" s="9" t="s">
        <v>324</v>
      </c>
      <c r="H4" s="9" t="s">
        <v>325</v>
      </c>
      <c r="I4" s="9" t="s">
        <v>326</v>
      </c>
      <c r="J4" s="9" t="s">
        <v>327</v>
      </c>
      <c r="K4" s="9" t="s">
        <v>328</v>
      </c>
      <c r="L4" s="9" t="s">
        <v>329</v>
      </c>
      <c r="M4" s="9" t="s">
        <v>330</v>
      </c>
    </row>
    <row r="5" customFormat="false" ht="14.25" hidden="false" customHeight="true" outlineLevel="0" collapsed="false">
      <c r="A5" s="6" t="s">
        <v>363</v>
      </c>
      <c r="C5" s="15" t="n">
        <f aca="false">'Operating Model'!C106</f>
        <v>95960</v>
      </c>
      <c r="D5" s="15" t="n">
        <f aca="false">'Operating Model'!D106</f>
        <v>141315.8</v>
      </c>
      <c r="E5" s="15" t="n">
        <f aca="false">'Operating Model'!E106</f>
        <v>206531.778444444</v>
      </c>
      <c r="F5" s="15" t="n">
        <f aca="false">'Operating Model'!F106</f>
        <v>296785.358047901</v>
      </c>
      <c r="G5" s="15" t="n">
        <f aca="false">'Operating Model'!G106</f>
        <v>415803.561222013</v>
      </c>
      <c r="H5" s="15" t="n">
        <f aca="false">'Operating Model'!H106</f>
        <v>563812.504212455</v>
      </c>
      <c r="I5" s="15" t="n">
        <f aca="false">'Operating Model'!I106</f>
        <v>735272.278194921</v>
      </c>
      <c r="J5" s="15" t="n">
        <f aca="false">'Operating Model'!J106</f>
        <v>917203.950212576</v>
      </c>
      <c r="K5" s="15" t="n">
        <f aca="false">'Operating Model'!K106</f>
        <v>1089188.26775653</v>
      </c>
      <c r="L5" s="15" t="n">
        <f aca="false">'Operating Model'!L106</f>
        <v>1225968.1537306</v>
      </c>
      <c r="M5" s="15" t="n">
        <f aca="false">'Operating Model'!M106</f>
        <v>1302818.85002362</v>
      </c>
    </row>
    <row r="6" customFormat="false" ht="14.25" hidden="false" customHeight="true" outlineLevel="0" collapsed="false">
      <c r="A6" s="6" t="s">
        <v>364</v>
      </c>
      <c r="C6" s="15" t="n">
        <f aca="false">'Operating Model'!C108</f>
        <v>55903</v>
      </c>
      <c r="D6" s="15" t="n">
        <f aca="false">'Operating Model'!D108</f>
        <v>96983.2224</v>
      </c>
      <c r="E6" s="15" t="n">
        <f aca="false">'Operating Model'!E108</f>
        <v>149185.382694222</v>
      </c>
      <c r="F6" s="15" t="n">
        <f aca="false">'Operating Model'!F108</f>
        <v>223213.915443079</v>
      </c>
      <c r="G6" s="15" t="n">
        <f aca="false">'Operating Model'!G108</f>
        <v>322576.178489831</v>
      </c>
      <c r="H6" s="15" t="n">
        <f aca="false">'Operating Model'!H108</f>
        <v>447672.147901825</v>
      </c>
      <c r="I6" s="15" t="n">
        <f aca="false">'Operating Model'!I108</f>
        <v>593722.738468426</v>
      </c>
      <c r="J6" s="15" t="n">
        <f aca="false">'Operating Model'!J108</f>
        <v>749227.80538148</v>
      </c>
      <c r="K6" s="15" t="n">
        <f aca="false">'Operating Model'!K108</f>
        <v>895943.844173136</v>
      </c>
      <c r="L6" s="15" t="n">
        <f aca="false">'Operating Model'!L108</f>
        <v>1011238.71850778</v>
      </c>
      <c r="M6" s="15" t="n">
        <f aca="false">'Operating Model'!M108</f>
        <v>1072977.21904705</v>
      </c>
    </row>
    <row r="7" customFormat="false" ht="14.25" hidden="false" customHeight="true" outlineLevel="0" collapsed="false">
      <c r="A7" s="5" t="s">
        <v>365</v>
      </c>
      <c r="C7" s="44" t="n">
        <f aca="false">'Operating Model'!C110</f>
        <v>1189</v>
      </c>
      <c r="D7" s="44" t="n">
        <f aca="false">'Operating Model'!D110</f>
        <v>2391.0673</v>
      </c>
      <c r="E7" s="44" t="n">
        <f aca="false">'Operating Model'!E110</f>
        <v>4796.70613077778</v>
      </c>
      <c r="F7" s="44" t="n">
        <f aca="false">'Operating Model'!F110</f>
        <v>9186.6154072842</v>
      </c>
      <c r="G7" s="44" t="n">
        <f aca="false">'Operating Model'!G110</f>
        <v>16351.3820316889</v>
      </c>
      <c r="H7" s="44" t="n">
        <f aca="false">'Operating Model'!H110</f>
        <v>27373.7695623601</v>
      </c>
      <c r="I7" s="44" t="n">
        <f aca="false">'Operating Model'!I110</f>
        <v>35566.6188639721</v>
      </c>
      <c r="J7" s="44" t="n">
        <f aca="false">'Operating Model'!J110</f>
        <v>44258.1780402028</v>
      </c>
      <c r="K7" s="44" t="n">
        <f aca="false">'Operating Model'!K110</f>
        <v>52481.0257499092</v>
      </c>
      <c r="L7" s="44" t="n">
        <f aca="false">'Operating Model'!L110</f>
        <v>59038.2718494179</v>
      </c>
      <c r="M7" s="44" t="n">
        <f aca="false">'Operating Model'!M110</f>
        <v>62757.9829092415</v>
      </c>
    </row>
    <row r="8" customFormat="false" ht="14.25" hidden="false" customHeight="true" outlineLevel="0" collapsed="false">
      <c r="A8" s="6" t="s">
        <v>366</v>
      </c>
      <c r="D8" s="24" t="n">
        <f aca="false">Assumptions!$B$64+(Assumptions!$B$65-Assumptions!$B$64)*('Operating Model'!D$77-1)/9</f>
        <v>0.0085</v>
      </c>
      <c r="E8" s="24" t="n">
        <f aca="false">Assumptions!$B$64+(Assumptions!$B$65-Assumptions!$B$64)*('Operating Model'!E$77-1)/9</f>
        <v>0.00811111111111111</v>
      </c>
      <c r="F8" s="24" t="n">
        <f aca="false">Assumptions!$B$64+(Assumptions!$B$65-Assumptions!$B$64)*('Operating Model'!F$77-1)/9</f>
        <v>0.00772222222222222</v>
      </c>
      <c r="G8" s="24" t="n">
        <f aca="false">Assumptions!$B$64+(Assumptions!$B$65-Assumptions!$B$64)*('Operating Model'!G$77-1)/9</f>
        <v>0.00733333333333333</v>
      </c>
      <c r="H8" s="24" t="n">
        <f aca="false">Assumptions!$B$64+(Assumptions!$B$65-Assumptions!$B$64)*('Operating Model'!H$77-1)/9</f>
        <v>0.00694444444444445</v>
      </c>
      <c r="I8" s="24" t="n">
        <f aca="false">Assumptions!$B$64+(Assumptions!$B$65-Assumptions!$B$64)*('Operating Model'!I$77-1)/9</f>
        <v>0.00655555555555556</v>
      </c>
      <c r="J8" s="24" t="n">
        <f aca="false">Assumptions!$B$64+(Assumptions!$B$65-Assumptions!$B$64)*('Operating Model'!J$77-1)/9</f>
        <v>0.00616666666666667</v>
      </c>
      <c r="K8" s="24" t="n">
        <f aca="false">Assumptions!$B$64+(Assumptions!$B$65-Assumptions!$B$64)*('Operating Model'!K$77-1)/9</f>
        <v>0.00577777777777778</v>
      </c>
      <c r="L8" s="24" t="n">
        <f aca="false">Assumptions!$B$64+(Assumptions!$B$65-Assumptions!$B$64)*('Operating Model'!L$77-1)/9</f>
        <v>0.00538888888888889</v>
      </c>
      <c r="M8" s="24" t="n">
        <f aca="false">Assumptions!$B$64+(Assumptions!$B$65-Assumptions!$B$64)*('Operating Model'!M$77-1)/9</f>
        <v>0.005</v>
      </c>
    </row>
    <row r="9" customFormat="false" ht="14.25" hidden="false" customHeight="true" outlineLevel="0" collapsed="false">
      <c r="A9" s="6" t="s">
        <v>367</v>
      </c>
      <c r="D9" s="28" t="n">
        <f aca="false">-D5*D8</f>
        <v>-1201.1843</v>
      </c>
      <c r="E9" s="28" t="n">
        <f aca="false">-E5*E8</f>
        <v>-1675.20220293827</v>
      </c>
      <c r="F9" s="28" t="n">
        <f aca="false">-F5*F8</f>
        <v>-2291.84248714768</v>
      </c>
      <c r="G9" s="28" t="n">
        <f aca="false">-G5*G8</f>
        <v>-3049.2261156281</v>
      </c>
      <c r="H9" s="28" t="n">
        <f aca="false">-H5*H8</f>
        <v>-3915.36461258649</v>
      </c>
      <c r="I9" s="28" t="n">
        <f aca="false">-I5*I8</f>
        <v>-4820.1182681667</v>
      </c>
      <c r="J9" s="28" t="n">
        <f aca="false">-J5*J8</f>
        <v>-5656.09102631089</v>
      </c>
      <c r="K9" s="28" t="n">
        <f aca="false">-K5*K8</f>
        <v>-6293.08776925998</v>
      </c>
      <c r="L9" s="28" t="n">
        <f aca="false">-L5*L8</f>
        <v>-6606.60616177047</v>
      </c>
      <c r="M9" s="28" t="n">
        <f aca="false">-M5*M8</f>
        <v>-6514.09425011812</v>
      </c>
    </row>
    <row r="10" customFormat="false" ht="14.25" hidden="false" customHeight="true" outlineLevel="0" collapsed="false">
      <c r="A10" s="5" t="s">
        <v>368</v>
      </c>
      <c r="D10" s="41" t="n">
        <f aca="false">D7+D9</f>
        <v>1189.883</v>
      </c>
      <c r="E10" s="41" t="n">
        <f aca="false">E7+E9</f>
        <v>3121.50392783951</v>
      </c>
      <c r="F10" s="41" t="n">
        <f aca="false">F7+F9</f>
        <v>6894.77292013652</v>
      </c>
      <c r="G10" s="41" t="n">
        <f aca="false">G7+G9</f>
        <v>13302.1559160608</v>
      </c>
      <c r="H10" s="41" t="n">
        <f aca="false">H7+H9</f>
        <v>23458.4049497737</v>
      </c>
      <c r="I10" s="41" t="n">
        <f aca="false">I7+I9</f>
        <v>30746.5005958054</v>
      </c>
      <c r="J10" s="41" t="n">
        <f aca="false">J7+J9</f>
        <v>38602.0870138919</v>
      </c>
      <c r="K10" s="41" t="n">
        <f aca="false">K7+K9</f>
        <v>46187.9379806492</v>
      </c>
      <c r="L10" s="41" t="n">
        <f aca="false">L7+L9</f>
        <v>52431.6656876475</v>
      </c>
      <c r="M10" s="41" t="n">
        <f aca="false">M7+M9</f>
        <v>56243.8886591234</v>
      </c>
    </row>
    <row r="11" customFormat="false" ht="14.25" hidden="false" customHeight="true" outlineLevel="0" collapsed="false">
      <c r="A11" s="6" t="s">
        <v>369</v>
      </c>
      <c r="D11" s="24" t="n">
        <f aca="false">Assumptions!$B$68+(Assumptions!$B$69-Assumptions!$B$68)*('Operating Model'!D$77-1)/9</f>
        <v>0.012</v>
      </c>
      <c r="E11" s="24" t="n">
        <f aca="false">Assumptions!$B$68+(Assumptions!$B$69-Assumptions!$B$68)*('Operating Model'!E$77-1)/9</f>
        <v>0.0118888888888889</v>
      </c>
      <c r="F11" s="24" t="n">
        <f aca="false">Assumptions!$B$68+(Assumptions!$B$69-Assumptions!$B$68)*('Operating Model'!F$77-1)/9</f>
        <v>0.0117777777777778</v>
      </c>
      <c r="G11" s="24" t="n">
        <f aca="false">Assumptions!$B$68+(Assumptions!$B$69-Assumptions!$B$68)*('Operating Model'!G$77-1)/9</f>
        <v>0.0116666666666667</v>
      </c>
      <c r="H11" s="24" t="n">
        <f aca="false">Assumptions!$B$68+(Assumptions!$B$69-Assumptions!$B$68)*('Operating Model'!H$77-1)/9</f>
        <v>0.0115555555555556</v>
      </c>
      <c r="I11" s="24" t="n">
        <f aca="false">Assumptions!$B$68+(Assumptions!$B$69-Assumptions!$B$68)*('Operating Model'!I$77-1)/9</f>
        <v>0.0114444444444444</v>
      </c>
      <c r="J11" s="24" t="n">
        <f aca="false">Assumptions!$B$68+(Assumptions!$B$69-Assumptions!$B$68)*('Operating Model'!J$77-1)/9</f>
        <v>0.0113333333333333</v>
      </c>
      <c r="K11" s="24" t="n">
        <f aca="false">Assumptions!$B$68+(Assumptions!$B$69-Assumptions!$B$68)*('Operating Model'!K$77-1)/9</f>
        <v>0.0112222222222222</v>
      </c>
      <c r="L11" s="24" t="n">
        <f aca="false">Assumptions!$B$68+(Assumptions!$B$69-Assumptions!$B$68)*('Operating Model'!L$77-1)/9</f>
        <v>0.0111111111111111</v>
      </c>
      <c r="M11" s="24" t="n">
        <f aca="false">Assumptions!$B$68+(Assumptions!$B$69-Assumptions!$B$68)*('Operating Model'!M$77-1)/9</f>
        <v>0.011</v>
      </c>
    </row>
    <row r="12" customFormat="false" ht="14.25" hidden="false" customHeight="true" outlineLevel="0" collapsed="false">
      <c r="A12" s="6" t="s">
        <v>370</v>
      </c>
      <c r="D12" s="28" t="n">
        <f aca="false">-D5*D11</f>
        <v>-1695.7896</v>
      </c>
      <c r="E12" s="28" t="n">
        <f aca="false">-E5*E11</f>
        <v>-2455.43336595062</v>
      </c>
      <c r="F12" s="28" t="n">
        <f aca="false">-F5*F11</f>
        <v>-3495.47199478639</v>
      </c>
      <c r="G12" s="28" t="n">
        <f aca="false">-G5*G11</f>
        <v>-4851.04154759015</v>
      </c>
      <c r="H12" s="28" t="n">
        <f aca="false">-H5*H11</f>
        <v>-6515.16671534392</v>
      </c>
      <c r="I12" s="28" t="n">
        <f aca="false">-I5*I11</f>
        <v>-8414.78273934187</v>
      </c>
      <c r="J12" s="28" t="n">
        <f aca="false">-J5*J11</f>
        <v>-10394.9781024092</v>
      </c>
      <c r="K12" s="28" t="n">
        <f aca="false">-K5*K11</f>
        <v>-12223.1127826011</v>
      </c>
      <c r="L12" s="28" t="n">
        <f aca="false">-L5*L11</f>
        <v>-13621.8683747845</v>
      </c>
      <c r="M12" s="28" t="n">
        <f aca="false">-M5*M11</f>
        <v>-14331.0073502599</v>
      </c>
    </row>
    <row r="13" customFormat="false" ht="14.25" hidden="false" customHeight="true" outlineLevel="0" collapsed="false">
      <c r="A13" s="5" t="s">
        <v>371</v>
      </c>
      <c r="D13" s="41" t="n">
        <f aca="false">D10+D12</f>
        <v>-505.9066</v>
      </c>
      <c r="E13" s="41" t="n">
        <f aca="false">E10+E12</f>
        <v>666.070561888888</v>
      </c>
      <c r="F13" s="41" t="n">
        <f aca="false">F10+F12</f>
        <v>3399.30092535012</v>
      </c>
      <c r="G13" s="41" t="n">
        <f aca="false">G10+G12</f>
        <v>8451.11436847061</v>
      </c>
      <c r="H13" s="41" t="n">
        <f aca="false">H10+H12</f>
        <v>16943.2382344297</v>
      </c>
      <c r="I13" s="41" t="n">
        <f aca="false">I10+I12</f>
        <v>22331.7178564635</v>
      </c>
      <c r="J13" s="41" t="n">
        <f aca="false">J10+J12</f>
        <v>28207.1089114827</v>
      </c>
      <c r="K13" s="41" t="n">
        <f aca="false">K10+K12</f>
        <v>33964.8251980481</v>
      </c>
      <c r="L13" s="41" t="n">
        <f aca="false">L10+L12</f>
        <v>38809.797312863</v>
      </c>
      <c r="M13" s="41" t="n">
        <f aca="false">M10+M12</f>
        <v>41912.8813088635</v>
      </c>
    </row>
    <row r="14" customFormat="false" ht="14.25" hidden="false" customHeight="true" outlineLevel="0" collapsed="false">
      <c r="A14" s="6" t="s">
        <v>372</v>
      </c>
      <c r="D14" s="13" t="n">
        <f aca="false">D13/D6</f>
        <v>-0.00521643421903869</v>
      </c>
      <c r="E14" s="13" t="n">
        <f aca="false">E13/E6</f>
        <v>0.00446471731921685</v>
      </c>
      <c r="F14" s="13" t="n">
        <f aca="false">F13/F6</f>
        <v>0.0152288934074854</v>
      </c>
      <c r="G14" s="13" t="n">
        <f aca="false">G13/G6</f>
        <v>0.0261988173089385</v>
      </c>
      <c r="H14" s="13" t="n">
        <f aca="false">H13/H6</f>
        <v>0.0378474254291679</v>
      </c>
      <c r="I14" s="13" t="n">
        <f aca="false">I13/I6</f>
        <v>0.0376130412557058</v>
      </c>
      <c r="J14" s="13" t="n">
        <f aca="false">J13/J6</f>
        <v>0.0376482409073441</v>
      </c>
      <c r="K14" s="13" t="n">
        <f aca="false">K13/K6</f>
        <v>0.0379095469196444</v>
      </c>
      <c r="L14" s="13" t="n">
        <f aca="false">L13/L6</f>
        <v>0.0383784724640806</v>
      </c>
      <c r="M14" s="13" t="n">
        <f aca="false">M13/M6</f>
        <v>0.0390622285029388</v>
      </c>
    </row>
    <row r="15" customFormat="false" ht="14.25" hidden="false" customHeight="true" outlineLevel="0" collapsed="false">
      <c r="A15" s="6" t="s">
        <v>373</v>
      </c>
      <c r="D15" s="14" t="n">
        <f aca="false">Assumptions!$B$12</f>
        <v>0.2517</v>
      </c>
      <c r="E15" s="14" t="n">
        <f aca="false">Assumptions!$B$12</f>
        <v>0.2517</v>
      </c>
      <c r="F15" s="14" t="n">
        <f aca="false">Assumptions!$B$12</f>
        <v>0.2517</v>
      </c>
      <c r="G15" s="14" t="n">
        <f aca="false">Assumptions!$B$12</f>
        <v>0.2517</v>
      </c>
      <c r="H15" s="14" t="n">
        <f aca="false">Assumptions!$B$12</f>
        <v>0.2517</v>
      </c>
      <c r="I15" s="14" t="n">
        <f aca="false">Assumptions!$B$12</f>
        <v>0.2517</v>
      </c>
      <c r="J15" s="14" t="n">
        <f aca="false">Assumptions!$B$12</f>
        <v>0.2517</v>
      </c>
      <c r="K15" s="14" t="n">
        <f aca="false">Assumptions!$B$12</f>
        <v>0.2517</v>
      </c>
      <c r="L15" s="14" t="n">
        <f aca="false">Assumptions!$B$12</f>
        <v>0.2517</v>
      </c>
      <c r="M15" s="14" t="n">
        <f aca="false">Assumptions!$B$12</f>
        <v>0.2517</v>
      </c>
    </row>
    <row r="16" customFormat="false" ht="14.25" hidden="false" customHeight="true" outlineLevel="0" collapsed="false">
      <c r="A16" s="6" t="s">
        <v>374</v>
      </c>
      <c r="D16" s="28" t="n">
        <f aca="false">-MAX(0,D13)*D15</f>
        <v>-0</v>
      </c>
      <c r="E16" s="28" t="n">
        <f aca="false">-MAX(0,E13)*E15</f>
        <v>-167.649960427433</v>
      </c>
      <c r="F16" s="28" t="n">
        <f aca="false">-MAX(0,F13)*F15</f>
        <v>-855.604042910626</v>
      </c>
      <c r="G16" s="28" t="n">
        <f aca="false">-MAX(0,G13)*G15</f>
        <v>-2127.14548654405</v>
      </c>
      <c r="H16" s="28" t="n">
        <f aca="false">-MAX(0,H13)*H15</f>
        <v>-4264.61306360596</v>
      </c>
      <c r="I16" s="28" t="n">
        <f aca="false">-MAX(0,I13)*I15</f>
        <v>-5620.89338447187</v>
      </c>
      <c r="J16" s="28" t="n">
        <f aca="false">-MAX(0,J13)*J15</f>
        <v>-7099.7293130202</v>
      </c>
      <c r="K16" s="28" t="n">
        <f aca="false">-MAX(0,K13)*K15</f>
        <v>-8548.94650234871</v>
      </c>
      <c r="L16" s="28" t="n">
        <f aca="false">-MAX(0,L13)*L15</f>
        <v>-9768.42598364761</v>
      </c>
      <c r="M16" s="28" t="n">
        <f aca="false">-MAX(0,M13)*M15</f>
        <v>-10549.4722254409</v>
      </c>
    </row>
    <row r="17" customFormat="false" ht="14.25" hidden="false" customHeight="true" outlineLevel="0" collapsed="false">
      <c r="A17" s="5" t="s">
        <v>375</v>
      </c>
      <c r="D17" s="41" t="n">
        <f aca="false">D13+D16</f>
        <v>-505.9066</v>
      </c>
      <c r="E17" s="41" t="n">
        <f aca="false">E13+E16</f>
        <v>498.420601461455</v>
      </c>
      <c r="F17" s="41" t="n">
        <f aca="false">F13+F16</f>
        <v>2543.6968824395</v>
      </c>
      <c r="G17" s="41" t="n">
        <f aca="false">G13+G16</f>
        <v>6323.96888192656</v>
      </c>
      <c r="H17" s="41" t="n">
        <f aca="false">H13+H16</f>
        <v>12678.6251708238</v>
      </c>
      <c r="I17" s="41" t="n">
        <f aca="false">I13+I16</f>
        <v>16710.8244719917</v>
      </c>
      <c r="J17" s="41" t="n">
        <f aca="false">J13+J16</f>
        <v>21107.3795984625</v>
      </c>
      <c r="K17" s="41" t="n">
        <f aca="false">K13+K16</f>
        <v>25415.8786956994</v>
      </c>
      <c r="L17" s="41" t="n">
        <f aca="false">L13+L16</f>
        <v>29041.3713292154</v>
      </c>
      <c r="M17" s="41" t="n">
        <f aca="false">M13+M16</f>
        <v>31363.4090834225</v>
      </c>
    </row>
    <row r="18" customFormat="false" ht="14.25" hidden="false" customHeight="true" outlineLevel="0" collapsed="false">
      <c r="A18" s="6" t="s">
        <v>376</v>
      </c>
      <c r="D18" s="28" t="n">
        <f aca="false">-D12</f>
        <v>1695.7896</v>
      </c>
      <c r="E18" s="28" t="n">
        <f aca="false">-E12</f>
        <v>2455.43336595062</v>
      </c>
      <c r="F18" s="28" t="n">
        <f aca="false">-F12</f>
        <v>3495.47199478639</v>
      </c>
      <c r="G18" s="28" t="n">
        <f aca="false">-G12</f>
        <v>4851.04154759015</v>
      </c>
      <c r="H18" s="28" t="n">
        <f aca="false">-H12</f>
        <v>6515.16671534392</v>
      </c>
      <c r="I18" s="28" t="n">
        <f aca="false">-I12</f>
        <v>8414.78273934187</v>
      </c>
      <c r="J18" s="28" t="n">
        <f aca="false">-J12</f>
        <v>10394.9781024092</v>
      </c>
      <c r="K18" s="28" t="n">
        <f aca="false">-K12</f>
        <v>12223.1127826011</v>
      </c>
      <c r="L18" s="28" t="n">
        <f aca="false">-L12</f>
        <v>13621.8683747845</v>
      </c>
      <c r="M18" s="28" t="n">
        <f aca="false">-M12</f>
        <v>14331.0073502599</v>
      </c>
    </row>
    <row r="19" customFormat="false" ht="14.25" hidden="false" customHeight="true" outlineLevel="0" collapsed="false">
      <c r="A19" s="6" t="s">
        <v>377</v>
      </c>
      <c r="D19" s="24" t="n">
        <f aca="false">Assumptions!$B$66+(Assumptions!$B$67-Assumptions!$B$66)*('Operating Model'!D$77-1)/9</f>
        <v>0.018</v>
      </c>
      <c r="E19" s="24" t="n">
        <f aca="false">Assumptions!$B$66+(Assumptions!$B$67-Assumptions!$B$66)*('Operating Model'!E$77-1)/9</f>
        <v>0.0173333333333333</v>
      </c>
      <c r="F19" s="24" t="n">
        <f aca="false">Assumptions!$B$66+(Assumptions!$B$67-Assumptions!$B$66)*('Operating Model'!F$77-1)/9</f>
        <v>0.0166666666666667</v>
      </c>
      <c r="G19" s="24" t="n">
        <f aca="false">Assumptions!$B$66+(Assumptions!$B$67-Assumptions!$B$66)*('Operating Model'!G$77-1)/9</f>
        <v>0.016</v>
      </c>
      <c r="H19" s="24" t="n">
        <f aca="false">Assumptions!$B$66+(Assumptions!$B$67-Assumptions!$B$66)*('Operating Model'!H$77-1)/9</f>
        <v>0.0153333333333333</v>
      </c>
      <c r="I19" s="24" t="n">
        <f aca="false">Assumptions!$B$66+(Assumptions!$B$67-Assumptions!$B$66)*('Operating Model'!I$77-1)/9</f>
        <v>0.0146666666666667</v>
      </c>
      <c r="J19" s="24" t="n">
        <f aca="false">Assumptions!$B$66+(Assumptions!$B$67-Assumptions!$B$66)*('Operating Model'!J$77-1)/9</f>
        <v>0.014</v>
      </c>
      <c r="K19" s="24" t="n">
        <f aca="false">Assumptions!$B$66+(Assumptions!$B$67-Assumptions!$B$66)*('Operating Model'!K$77-1)/9</f>
        <v>0.0133333333333333</v>
      </c>
      <c r="L19" s="24" t="n">
        <f aca="false">Assumptions!$B$66+(Assumptions!$B$67-Assumptions!$B$66)*('Operating Model'!L$77-1)/9</f>
        <v>0.0126666666666667</v>
      </c>
      <c r="M19" s="24" t="n">
        <f aca="false">Assumptions!$B$66+(Assumptions!$B$67-Assumptions!$B$66)*('Operating Model'!M$77-1)/9</f>
        <v>0.012</v>
      </c>
    </row>
    <row r="20" customFormat="false" ht="14.25" hidden="false" customHeight="true" outlineLevel="0" collapsed="false">
      <c r="A20" s="6" t="s">
        <v>378</v>
      </c>
      <c r="D20" s="28" t="n">
        <f aca="false">-D5*D19</f>
        <v>-2543.6844</v>
      </c>
      <c r="E20" s="28" t="n">
        <f aca="false">-E5*E19</f>
        <v>-3579.8841597037</v>
      </c>
      <c r="F20" s="28" t="n">
        <f aca="false">-F5*F19</f>
        <v>-4946.42263413169</v>
      </c>
      <c r="G20" s="28" t="n">
        <f aca="false">-G5*G19</f>
        <v>-6652.85697955221</v>
      </c>
      <c r="H20" s="28" t="n">
        <f aca="false">-H5*H19</f>
        <v>-8645.12506459097</v>
      </c>
      <c r="I20" s="28" t="n">
        <f aca="false">-I5*I19</f>
        <v>-10783.9934135255</v>
      </c>
      <c r="J20" s="28" t="n">
        <f aca="false">-J5*J19</f>
        <v>-12840.8553029761</v>
      </c>
      <c r="K20" s="28" t="n">
        <f aca="false">-K5*K19</f>
        <v>-14522.5102367538</v>
      </c>
      <c r="L20" s="28" t="n">
        <f aca="false">-L5*L19</f>
        <v>-15528.9299472543</v>
      </c>
      <c r="M20" s="28" t="n">
        <f aca="false">-M5*M19</f>
        <v>-15633.8262002835</v>
      </c>
    </row>
    <row r="21" customFormat="false" ht="14.25" hidden="false" customHeight="true" outlineLevel="0" collapsed="false">
      <c r="A21" s="6" t="s">
        <v>379</v>
      </c>
      <c r="D21" s="28" t="n">
        <f aca="false">D5-C5</f>
        <v>45355.8</v>
      </c>
      <c r="E21" s="28" t="n">
        <f aca="false">E5-D5</f>
        <v>65215.9784444444</v>
      </c>
      <c r="F21" s="28" t="n">
        <f aca="false">F5-E5</f>
        <v>90253.5796034568</v>
      </c>
      <c r="G21" s="28" t="n">
        <f aca="false">G5-F5</f>
        <v>119018.203174112</v>
      </c>
      <c r="H21" s="28" t="n">
        <f aca="false">H5-G5</f>
        <v>148008.942990442</v>
      </c>
      <c r="I21" s="28" t="n">
        <f aca="false">I5-H5</f>
        <v>171459.773982466</v>
      </c>
      <c r="J21" s="28" t="n">
        <f aca="false">J5-I5</f>
        <v>181931.672017655</v>
      </c>
      <c r="K21" s="28" t="n">
        <f aca="false">K5-J5</f>
        <v>171984.317543959</v>
      </c>
      <c r="L21" s="28" t="n">
        <f aca="false">L5-K5</f>
        <v>136779.885974068</v>
      </c>
      <c r="M21" s="28" t="n">
        <f aca="false">M5-L5</f>
        <v>76850.6962930213</v>
      </c>
    </row>
    <row r="22" customFormat="false" ht="14.25" hidden="false" customHeight="true" outlineLevel="0" collapsed="false">
      <c r="A22" s="6" t="s">
        <v>380</v>
      </c>
      <c r="D22" s="28" t="n">
        <f aca="false">-D21*Assumptions!$B$70</f>
        <v>-453.558</v>
      </c>
      <c r="E22" s="28" t="n">
        <f aca="false">-E21*Assumptions!$B$70</f>
        <v>-652.159784444444</v>
      </c>
      <c r="F22" s="28" t="n">
        <f aca="false">-F21*Assumptions!$B$70</f>
        <v>-902.535796034568</v>
      </c>
      <c r="G22" s="28" t="n">
        <f aca="false">-G21*Assumptions!$B$70</f>
        <v>-1190.18203174112</v>
      </c>
      <c r="H22" s="28" t="n">
        <f aca="false">-H21*Assumptions!$B$70</f>
        <v>-1480.08942990442</v>
      </c>
      <c r="I22" s="28" t="n">
        <f aca="false">-I21*Assumptions!$B$70</f>
        <v>-1714.59773982466</v>
      </c>
      <c r="J22" s="28" t="n">
        <f aca="false">-J21*Assumptions!$B$70</f>
        <v>-1819.31672017655</v>
      </c>
      <c r="K22" s="28" t="n">
        <f aca="false">-K21*Assumptions!$B$70</f>
        <v>-1719.84317543959</v>
      </c>
      <c r="L22" s="28" t="n">
        <f aca="false">-L21*Assumptions!$B$70</f>
        <v>-1367.79885974068</v>
      </c>
      <c r="M22" s="28" t="n">
        <f aca="false">-M21*Assumptions!$B$70</f>
        <v>-768.506962930213</v>
      </c>
    </row>
    <row r="23" customFormat="false" ht="14.25" hidden="false" customHeight="true" outlineLevel="0" collapsed="false">
      <c r="A23" s="5" t="s">
        <v>381</v>
      </c>
      <c r="D23" s="41" t="n">
        <f aca="false">D17+D18+D20+D22</f>
        <v>-1807.3594</v>
      </c>
      <c r="E23" s="41" t="n">
        <f aca="false">E17+E18+E20+E22</f>
        <v>-1278.18997673608</v>
      </c>
      <c r="F23" s="41" t="n">
        <f aca="false">F17+F18+F20+F22</f>
        <v>190.210447059636</v>
      </c>
      <c r="G23" s="41" t="n">
        <f aca="false">G17+G18+G20+G22</f>
        <v>3331.97141822338</v>
      </c>
      <c r="H23" s="41" t="n">
        <f aca="false">H17+H18+H20+H22</f>
        <v>9068.5773916723</v>
      </c>
      <c r="I23" s="41" t="n">
        <f aca="false">I17+I18+I20+I22</f>
        <v>12627.0160579834</v>
      </c>
      <c r="J23" s="41" t="n">
        <f aca="false">J17+J18+J20+J22</f>
        <v>16842.1856777191</v>
      </c>
      <c r="K23" s="41" t="n">
        <f aca="false">K17+K18+K20+K22</f>
        <v>21396.6380661071</v>
      </c>
      <c r="L23" s="41" t="n">
        <f aca="false">L17+L18+L20+L22</f>
        <v>25766.5108970049</v>
      </c>
      <c r="M23" s="41" t="n">
        <f aca="false">M17+M18+M20+M22</f>
        <v>29292.0832704687</v>
      </c>
    </row>
    <row r="25" customFormat="false" ht="14.25" hidden="false" customHeight="true" outlineLevel="0" collapsed="false">
      <c r="A25" s="6" t="s">
        <v>382</v>
      </c>
      <c r="D25" s="45" t="n">
        <f aca="false">Assumptions!$B$27</f>
        <v>0.750684931506849</v>
      </c>
      <c r="E25" s="46" t="n">
        <v>1</v>
      </c>
      <c r="F25" s="46" t="n">
        <v>1</v>
      </c>
      <c r="G25" s="46" t="n">
        <v>1</v>
      </c>
      <c r="H25" s="46" t="n">
        <v>1</v>
      </c>
      <c r="I25" s="46" t="n">
        <v>1</v>
      </c>
      <c r="J25" s="46" t="n">
        <v>1</v>
      </c>
      <c r="K25" s="46" t="n">
        <v>1</v>
      </c>
      <c r="L25" s="46" t="n">
        <v>1</v>
      </c>
      <c r="M25" s="46" t="n">
        <v>1</v>
      </c>
    </row>
    <row r="26" customFormat="false" ht="14.25" hidden="false" customHeight="true" outlineLevel="0" collapsed="false">
      <c r="A26" s="6" t="s">
        <v>383</v>
      </c>
      <c r="D26" s="30" t="n">
        <f aca="false">D25/2</f>
        <v>0.375342465753425</v>
      </c>
      <c r="E26" s="30" t="n">
        <f aca="false">Assumptions!$B$27+('Operating Model'!E$77-2)+0.5</f>
        <v>1.25068493150685</v>
      </c>
      <c r="F26" s="30" t="n">
        <f aca="false">Assumptions!$B$27+('Operating Model'!F$77-2)+0.5</f>
        <v>2.25068493150685</v>
      </c>
      <c r="G26" s="30" t="n">
        <f aca="false">Assumptions!$B$27+('Operating Model'!G$77-2)+0.5</f>
        <v>3.25068493150685</v>
      </c>
      <c r="H26" s="30" t="n">
        <f aca="false">Assumptions!$B$27+('Operating Model'!H$77-2)+0.5</f>
        <v>4.25068493150685</v>
      </c>
      <c r="I26" s="30" t="n">
        <f aca="false">Assumptions!$B$27+('Operating Model'!I$77-2)+0.5</f>
        <v>5.25068493150685</v>
      </c>
      <c r="J26" s="30" t="n">
        <f aca="false">Assumptions!$B$27+('Operating Model'!J$77-2)+0.5</f>
        <v>6.25068493150685</v>
      </c>
      <c r="K26" s="30" t="n">
        <f aca="false">Assumptions!$B$27+('Operating Model'!K$77-2)+0.5</f>
        <v>7.25068493150685</v>
      </c>
      <c r="L26" s="30" t="n">
        <f aca="false">Assumptions!$B$27+('Operating Model'!L$77-2)+0.5</f>
        <v>8.25068493150685</v>
      </c>
      <c r="M26" s="30" t="n">
        <f aca="false">Assumptions!$B$27+('Operating Model'!M$77-2)+0.5</f>
        <v>9.25068493150685</v>
      </c>
    </row>
    <row r="27" customFormat="false" ht="14.25" hidden="false" customHeight="true" outlineLevel="0" collapsed="false">
      <c r="A27" s="6" t="s">
        <v>384</v>
      </c>
      <c r="D27" s="47" t="n">
        <f aca="false">1/(1+Assumptions!$B$13)^D26</f>
        <v>0.954212742741841</v>
      </c>
      <c r="E27" s="47" t="n">
        <f aca="false">1/(1+Assumptions!$B$13)^E26</f>
        <v>0.855412257056214</v>
      </c>
      <c r="F27" s="47" t="n">
        <f aca="false">1/(1+Assumptions!$B$13)^F26</f>
        <v>0.754997579043437</v>
      </c>
      <c r="G27" s="47" t="n">
        <f aca="false">1/(1+Assumptions!$B$13)^G26</f>
        <v>0.666370325722363</v>
      </c>
      <c r="H27" s="47" t="n">
        <f aca="false">1/(1+Assumptions!$B$13)^H26</f>
        <v>0.588146801167134</v>
      </c>
      <c r="I27" s="47" t="n">
        <f aca="false">1/(1+Assumptions!$B$13)^I26</f>
        <v>0.519105738011592</v>
      </c>
      <c r="J27" s="47" t="n">
        <f aca="false">1/(1+Assumptions!$B$13)^J26</f>
        <v>0.458169230372103</v>
      </c>
      <c r="K27" s="47" t="n">
        <f aca="false">1/(1+Assumptions!$B$13)^K26</f>
        <v>0.404385905006269</v>
      </c>
      <c r="L27" s="47" t="n">
        <f aca="false">1/(1+Assumptions!$B$13)^L26</f>
        <v>0.356916067966698</v>
      </c>
      <c r="M27" s="47" t="n">
        <f aca="false">1/(1+Assumptions!$B$13)^M26</f>
        <v>0.315018594851455</v>
      </c>
    </row>
    <row r="28" customFormat="false" ht="14.25" hidden="false" customHeight="true" outlineLevel="0" collapsed="false">
      <c r="A28" s="5" t="s">
        <v>385</v>
      </c>
      <c r="D28" s="41" t="n">
        <f aca="false">D23*D25*D27</f>
        <v>-1294.63526420061</v>
      </c>
      <c r="E28" s="41" t="n">
        <f aca="false">E23*E25*E27</f>
        <v>-1093.37937294644</v>
      </c>
      <c r="F28" s="41" t="n">
        <f aca="false">F23*F25*F27</f>
        <v>143.608427038795</v>
      </c>
      <c r="G28" s="41" t="n">
        <f aca="false">G23*G25*G27</f>
        <v>2220.32687925912</v>
      </c>
      <c r="H28" s="41" t="n">
        <f aca="false">H23*H25*H27</f>
        <v>5333.65478404866</v>
      </c>
      <c r="I28" s="41" t="n">
        <f aca="false">I23*I25*I27</f>
        <v>6554.75648966368</v>
      </c>
      <c r="J28" s="41" t="n">
        <f aca="false">J23*J25*J27</f>
        <v>7716.57124974461</v>
      </c>
      <c r="K28" s="41" t="n">
        <f aca="false">K23*K25*K27</f>
        <v>8652.49884845431</v>
      </c>
      <c r="L28" s="41" t="n">
        <f aca="false">L23*L25*L27</f>
        <v>9196.48175458005</v>
      </c>
      <c r="M28" s="41" t="n">
        <f aca="false">M23*M25*M27</f>
        <v>9227.55091213485</v>
      </c>
    </row>
    <row r="30" customFormat="false" ht="14.25" hidden="false" customHeight="true" outlineLevel="0" collapsed="false">
      <c r="A30" s="9" t="s">
        <v>386</v>
      </c>
      <c r="B30" s="9"/>
    </row>
    <row r="31" customFormat="false" ht="14.25" hidden="false" customHeight="true" outlineLevel="0" collapsed="false">
      <c r="A31" s="6" t="s">
        <v>40</v>
      </c>
      <c r="B31" s="14" t="n">
        <f aca="false">Assumptions!B13</f>
        <v>0.133</v>
      </c>
    </row>
    <row r="32" customFormat="false" ht="14.25" hidden="false" customHeight="true" outlineLevel="0" collapsed="false">
      <c r="A32" s="6" t="s">
        <v>41</v>
      </c>
      <c r="B32" s="14" t="n">
        <f aca="false">Assumptions!B16</f>
        <v>0.05</v>
      </c>
    </row>
    <row r="33" customFormat="false" ht="14.25" hidden="false" customHeight="true" outlineLevel="0" collapsed="false">
      <c r="A33" s="6" t="s">
        <v>387</v>
      </c>
      <c r="B33" s="28" t="n">
        <f aca="false">SUM(D28:M28)</f>
        <v>46657.434707777</v>
      </c>
    </row>
    <row r="34" customFormat="false" ht="14.25" hidden="false" customHeight="true" outlineLevel="0" collapsed="false">
      <c r="A34" s="6" t="s">
        <v>388</v>
      </c>
      <c r="B34" s="28" t="n">
        <f aca="false">M23</f>
        <v>29292.0832704687</v>
      </c>
    </row>
    <row r="35" customFormat="false" ht="14.25" hidden="false" customHeight="true" outlineLevel="0" collapsed="false">
      <c r="A35" s="6" t="s">
        <v>389</v>
      </c>
      <c r="B35" s="28" t="n">
        <f aca="false">IF(B31&gt;B32,M23*(1+B32)/(B31-B32),NA())</f>
        <v>370562.499204725</v>
      </c>
    </row>
    <row r="36" customFormat="false" ht="14.25" hidden="false" customHeight="true" outlineLevel="0" collapsed="false">
      <c r="A36" s="6" t="s">
        <v>390</v>
      </c>
      <c r="B36" s="28" t="n">
        <f aca="false">B35*M27</f>
        <v>116734.077804116</v>
      </c>
      <c r="C36" s="8" t="s">
        <v>391</v>
      </c>
    </row>
    <row r="37" customFormat="false" ht="14.25" hidden="false" customHeight="true" outlineLevel="0" collapsed="false">
      <c r="A37" s="5" t="s">
        <v>392</v>
      </c>
      <c r="B37" s="41" t="n">
        <f aca="false">B33+B36</f>
        <v>163391.512511893</v>
      </c>
    </row>
    <row r="38" customFormat="false" ht="14.25" hidden="false" customHeight="true" outlineLevel="0" collapsed="false">
      <c r="A38" s="6" t="s">
        <v>393</v>
      </c>
      <c r="B38" s="15" t="n">
        <f aca="false">Assumptions!B22</f>
        <v>18288</v>
      </c>
    </row>
    <row r="39" customFormat="false" ht="14.25" hidden="false" customHeight="true" outlineLevel="0" collapsed="false">
      <c r="A39" s="6" t="s">
        <v>394</v>
      </c>
      <c r="B39" s="15" t="n">
        <f aca="false">-Assumptions!B23</f>
        <v>-0</v>
      </c>
    </row>
    <row r="40" customFormat="false" ht="14.25" hidden="false" customHeight="true" outlineLevel="0" collapsed="false">
      <c r="A40" s="6" t="s">
        <v>395</v>
      </c>
      <c r="B40" s="15" t="n">
        <f aca="false">-Assumptions!B24</f>
        <v>-447</v>
      </c>
    </row>
    <row r="41" customFormat="false" ht="14.25" hidden="false" customHeight="true" outlineLevel="0" collapsed="false">
      <c r="A41" s="5" t="s">
        <v>396</v>
      </c>
      <c r="B41" s="41" t="n">
        <f aca="false">SUM(B37:B40)</f>
        <v>181232.512511893</v>
      </c>
    </row>
    <row r="42" customFormat="false" ht="14.25" hidden="false" customHeight="true" outlineLevel="0" collapsed="false">
      <c r="A42" s="6" t="s">
        <v>397</v>
      </c>
      <c r="B42" s="45" t="n">
        <f aca="false">Assumptions!B20</f>
        <v>966.75</v>
      </c>
    </row>
    <row r="43" customFormat="false" ht="14.25" hidden="false" customHeight="true" outlineLevel="0" collapsed="false">
      <c r="A43" s="5" t="s">
        <v>36</v>
      </c>
      <c r="B43" s="48" t="n">
        <f aca="false">B41/B42</f>
        <v>187.46574865466</v>
      </c>
    </row>
    <row r="44" customFormat="false" ht="14.25" hidden="false" customHeight="true" outlineLevel="0" collapsed="false">
      <c r="A44" s="6" t="s">
        <v>97</v>
      </c>
      <c r="B44" s="11" t="n">
        <f aca="false">Assumptions!B19</f>
        <v>316.8</v>
      </c>
    </row>
    <row r="45" customFormat="false" ht="14.25" hidden="false" customHeight="true" outlineLevel="0" collapsed="false">
      <c r="A45" s="6" t="s">
        <v>398</v>
      </c>
      <c r="B45" s="13" t="n">
        <f aca="false">B43/B44-1</f>
        <v>-0.408252056014331</v>
      </c>
    </row>
    <row r="46" customFormat="false" ht="14.25" hidden="false" customHeight="true" outlineLevel="0" collapsed="false">
      <c r="A46" s="6" t="s">
        <v>399</v>
      </c>
      <c r="B46" s="13" t="n">
        <f aca="false">B36/B37</f>
        <v>0.714443951276961</v>
      </c>
    </row>
    <row r="47" customFormat="false" ht="14.25" hidden="false" customHeight="true" outlineLevel="0" collapsed="false">
      <c r="A47" s="6" t="s">
        <v>400</v>
      </c>
      <c r="B47" s="49" t="n">
        <f aca="false">B35/M7</f>
        <v>5.90462730041244</v>
      </c>
    </row>
    <row r="48" customFormat="false" ht="14.25" hidden="false" customHeight="true" outlineLevel="0" collapsed="false">
      <c r="A48" s="6" t="s">
        <v>401</v>
      </c>
      <c r="B48" s="49" t="n">
        <f aca="false">B37/E7</f>
        <v>34.0632734333047</v>
      </c>
    </row>
    <row r="49" customFormat="false" ht="14.25" hidden="false" customHeight="true" outlineLevel="0" collapsed="false">
      <c r="A49" s="6" t="s">
        <v>402</v>
      </c>
      <c r="B49" s="50" t="n">
        <f aca="false">B37/D5</f>
        <v>1.15621545865284</v>
      </c>
    </row>
    <row r="50" customFormat="false" ht="14.25" hidden="false" customHeight="true" outlineLevel="0" collapsed="false">
      <c r="A50" s="6" t="s">
        <v>403</v>
      </c>
      <c r="B50" s="50" t="n">
        <f aca="false">M20/M12</f>
        <v>1.09090909090909</v>
      </c>
      <c r="C50" s="8" t="s">
        <v>404</v>
      </c>
    </row>
    <row r="53" customFormat="false" ht="14.25" hidden="false" customHeight="true" outlineLevel="0" collapsed="false">
      <c r="A53" s="9" t="s">
        <v>405</v>
      </c>
      <c r="B53" s="9"/>
      <c r="C53" s="9"/>
      <c r="D53" s="9"/>
      <c r="E53" s="9"/>
      <c r="F53" s="9"/>
      <c r="G53" s="9"/>
    </row>
    <row r="54" customFormat="false" ht="14.25" hidden="false" customHeight="true" outlineLevel="0" collapsed="false">
      <c r="A54" s="5" t="s">
        <v>406</v>
      </c>
      <c r="B54" s="51" t="n">
        <f aca="false">Assumptions!$B$16+(-0.01)</f>
        <v>0.04</v>
      </c>
      <c r="C54" s="51" t="n">
        <f aca="false">Assumptions!$B$16+(-0.005)</f>
        <v>0.045</v>
      </c>
      <c r="D54" s="51" t="n">
        <f aca="false">Assumptions!$B$16+(0)</f>
        <v>0.05</v>
      </c>
      <c r="E54" s="51" t="n">
        <f aca="false">Assumptions!$B$16+(0.005)</f>
        <v>0.055</v>
      </c>
      <c r="F54" s="51" t="n">
        <f aca="false">Assumptions!$B$16+(0.01)</f>
        <v>0.06</v>
      </c>
    </row>
    <row r="55" customFormat="false" ht="14.25" hidden="false" customHeight="true" outlineLevel="0" collapsed="false">
      <c r="A55" s="52" t="n">
        <f aca="false">Assumptions!$B$13+(-0.02)</f>
        <v>0.113</v>
      </c>
      <c r="B55" s="28" t="n">
        <f aca="false">(SUMPRODUCT($D$23:$M$23,$D$25:$M$25,(1+$A55)^(-$D$26:$M$26))+$M$23*(1+B$54)/($A55-B$54)*(1+$A55)^(-$M$26)+Assumptions!$B$22-Assumptions!$B$23-Assumptions!$B$24)/Assumptions!$B$20</f>
        <v>233.649981330863</v>
      </c>
      <c r="C55" s="28" t="n">
        <f aca="false">(SUMPRODUCT($D$23:$M$23,$D$25:$M$25,(1+$A55)^(-$D$26:$M$26))+$M$23*(1+C$54)/($A55-C$54)*(1+$A55)^(-$M$26)+Assumptions!$B$22-Assumptions!$B$23-Assumptions!$B$24)/Assumptions!$B$20</f>
        <v>246.267017819974</v>
      </c>
      <c r="D55" s="28" t="n">
        <f aca="false">(SUMPRODUCT($D$23:$M$23,$D$25:$M$25,(1+$A55)^(-$D$26:$M$26))+$M$23*(1+D$54)/($A55-D$54)*(1+$A55)^(-$M$26)+Assumptions!$B$22-Assumptions!$B$23-Assumptions!$B$24)/Assumptions!$B$20</f>
        <v>260.886758513706</v>
      </c>
      <c r="E55" s="28" t="n">
        <f aca="false">(SUMPRODUCT($D$23:$M$23,$D$25:$M$25,(1+$A55)^(-$D$26:$M$26))+$M$23*(1+E$54)/($A55-E$54)*(1+$A55)^(-$M$26)+Assumptions!$B$22-Assumptions!$B$23-Assumptions!$B$24)/Assumptions!$B$20</f>
        <v>278.027144154633</v>
      </c>
      <c r="F55" s="28" t="n">
        <f aca="false">(SUMPRODUCT($D$23:$M$23,$D$25:$M$25,(1+$A55)^(-$D$26:$M$26))+$M$23*(1+F$54)/($A55-F$54)*(1+$A55)^(-$M$26)+Assumptions!$B$22-Assumptions!$B$23-Assumptions!$B$24)/Assumptions!$B$20</f>
        <v>298.40156482215</v>
      </c>
      <c r="G55" s="8" t="s">
        <v>407</v>
      </c>
    </row>
    <row r="56" customFormat="false" ht="14.25" hidden="false" customHeight="true" outlineLevel="0" collapsed="false">
      <c r="A56" s="52" t="n">
        <f aca="false">Assumptions!$B$13+(-0.01)</f>
        <v>0.123</v>
      </c>
      <c r="B56" s="28" t="n">
        <f aca="false">(SUMPRODUCT($D$23:$M$23,$D$25:$M$25,(1+$A56)^(-$D$26:$M$26))+$M$23*(1+B$54)/($A56-B$54)*(1+$A56)^(-$M$26)+Assumptions!$B$22-Assumptions!$B$23-Assumptions!$B$24)/Assumptions!$B$20</f>
        <v>199.712183389309</v>
      </c>
      <c r="C56" s="28" t="n">
        <f aca="false">(SUMPRODUCT($D$23:$M$23,$D$25:$M$25,(1+$A56)^(-$D$26:$M$26))+$M$23*(1+C$54)/($A56-C$54)*(1+$A56)^(-$M$26)+Assumptions!$B$22-Assumptions!$B$23-Assumptions!$B$24)/Assumptions!$B$20</f>
        <v>208.698172598759</v>
      </c>
      <c r="D56" s="28" t="n">
        <f aca="false">(SUMPRODUCT($D$23:$M$23,$D$25:$M$25,(1+$A56)^(-$D$26:$M$26))+$M$23*(1+D$54)/($A56-D$54)*(1+$A56)^(-$M$26)+Assumptions!$B$22-Assumptions!$B$23-Assumptions!$B$24)/Assumptions!$B$20</f>
        <v>218.915119234161</v>
      </c>
      <c r="E56" s="28" t="n">
        <f aca="false">(SUMPRODUCT($D$23:$M$23,$D$25:$M$25,(1+$A56)^(-$D$26:$M$26))+$M$23*(1+E$54)/($A56-E$54)*(1+$A56)^(-$M$26)+Assumptions!$B$22-Assumptions!$B$23-Assumptions!$B$24)/Assumptions!$B$20</f>
        <v>230.634558021828</v>
      </c>
      <c r="F56" s="28" t="n">
        <f aca="false">(SUMPRODUCT($D$23:$M$23,$D$25:$M$25,(1+$A56)^(-$D$26:$M$26))+$M$23*(1+F$54)/($A56-F$54)*(1+$A56)^(-$M$26)+Assumptions!$B$22-Assumptions!$B$23-Assumptions!$B$24)/Assumptions!$B$20</f>
        <v>244.21422518849</v>
      </c>
    </row>
    <row r="57" customFormat="false" ht="14.25" hidden="false" customHeight="true" outlineLevel="0" collapsed="false">
      <c r="A57" s="52" t="n">
        <f aca="false">Assumptions!$B$13+(0)</f>
        <v>0.133</v>
      </c>
      <c r="B57" s="28" t="n">
        <f aca="false">(SUMPRODUCT($D$23:$M$23,$D$25:$M$25,(1+$A57)^(-$D$26:$M$26))+$M$23*(1+B$54)/($A57-B$54)*(1+$A57)^(-$M$26)+Assumptions!$B$22-Assumptions!$B$23-Assumptions!$B$24)/Assumptions!$B$20</f>
        <v>173.455651781337</v>
      </c>
      <c r="C57" s="28" t="n">
        <f aca="false">(SUMPRODUCT($D$23:$M$23,$D$25:$M$25,(1+$A57)^(-$D$26:$M$26))+$M$23*(1+C$54)/($A57-C$54)*(1+$A57)^(-$M$26)+Assumptions!$B$22-Assumptions!$B$23-Assumptions!$B$24)/Assumptions!$B$20</f>
        <v>180.062686102279</v>
      </c>
      <c r="D57" s="28" t="n">
        <f aca="false">(SUMPRODUCT($D$23:$M$23,$D$25:$M$25,(1+$A57)^(-$D$26:$M$26))+$M$23*(1+D$54)/($A57-D$54)*(1+$A57)^(-$M$26)+Assumptions!$B$22-Assumptions!$B$23-Assumptions!$B$24)/Assumptions!$B$20</f>
        <v>187.46574865466</v>
      </c>
      <c r="E57" s="28" t="n">
        <f aca="false">(SUMPRODUCT($D$23:$M$23,$D$25:$M$25,(1+$A57)^(-$D$26:$M$26))+$M$23*(1+E$54)/($A57-E$54)*(1+$A57)^(-$M$26)+Assumptions!$B$22-Assumptions!$B$23-Assumptions!$B$24)/Assumptions!$B$20</f>
        <v>195.81792179068</v>
      </c>
      <c r="F57" s="28" t="n">
        <f aca="false">(SUMPRODUCT($D$23:$M$23,$D$25:$M$25,(1+$A57)^(-$D$26:$M$26))+$M$23*(1+F$54)/($A57-F$54)*(1+$A57)^(-$M$26)+Assumptions!$B$22-Assumptions!$B$23-Assumptions!$B$24)/Assumptions!$B$20</f>
        <v>205.314228233003</v>
      </c>
    </row>
    <row r="58" customFormat="false" ht="14.25" hidden="false" customHeight="true" outlineLevel="0" collapsed="false">
      <c r="A58" s="52" t="n">
        <f aca="false">Assumptions!$B$13+(0.01)</f>
        <v>0.143</v>
      </c>
      <c r="B58" s="28" t="n">
        <f aca="false">(SUMPRODUCT($D$23:$M$23,$D$25:$M$25,(1+$A58)^(-$D$26:$M$26))+$M$23*(1+B$54)/($A58-B$54)*(1+$A58)^(-$M$26)+Assumptions!$B$22-Assumptions!$B$23-Assumptions!$B$24)/Assumptions!$B$20</f>
        <v>152.619894331423</v>
      </c>
      <c r="C58" s="28" t="n">
        <f aca="false">(SUMPRODUCT($D$23:$M$23,$D$25:$M$25,(1+$A58)^(-$D$26:$M$26))+$M$23*(1+C$54)/($A58-C$54)*(1+$A58)^(-$M$26)+Assumptions!$B$22-Assumptions!$B$23-Assumptions!$B$24)/Assumptions!$B$20</f>
        <v>157.602099693514</v>
      </c>
      <c r="D58" s="28" t="n">
        <f aca="false">(SUMPRODUCT($D$23:$M$23,$D$25:$M$25,(1+$A58)^(-$D$26:$M$26))+$M$23*(1+D$54)/($A58-D$54)*(1+$A58)^(-$M$26)+Assumptions!$B$22-Assumptions!$B$23-Assumptions!$B$24)/Assumptions!$B$20</f>
        <v>163.120026062282</v>
      </c>
      <c r="E58" s="28" t="n">
        <f aca="false">(SUMPRODUCT($D$23:$M$23,$D$25:$M$25,(1+$A58)^(-$D$26:$M$26))+$M$23*(1+E$54)/($A58-E$54)*(1+$A58)^(-$M$26)+Assumptions!$B$22-Assumptions!$B$23-Assumptions!$B$24)/Assumptions!$B$20</f>
        <v>169.26498951841</v>
      </c>
      <c r="F58" s="28" t="n">
        <f aca="false">(SUMPRODUCT($D$23:$M$23,$D$25:$M$25,(1+$A58)^(-$D$26:$M$26))+$M$23*(1+F$54)/($A58-F$54)*(1+$A58)^(-$M$26)+Assumptions!$B$22-Assumptions!$B$23-Assumptions!$B$24)/Assumptions!$B$20</f>
        <v>176.150310017445</v>
      </c>
    </row>
    <row r="59" customFormat="false" ht="14.25" hidden="false" customHeight="true" outlineLevel="0" collapsed="false">
      <c r="A59" s="52" t="n">
        <f aca="false">Assumptions!$B$13+(0.02)</f>
        <v>0.153</v>
      </c>
      <c r="B59" s="28" t="n">
        <f aca="false">(SUMPRODUCT($D$23:$M$23,$D$25:$M$25,(1+$A59)^(-$D$26:$M$26))+$M$23*(1+B$54)/($A59-B$54)*(1+$A59)^(-$M$26)+Assumptions!$B$22-Assumptions!$B$23-Assumptions!$B$24)/Assumptions!$B$20</f>
        <v>135.746254873456</v>
      </c>
      <c r="C59" s="28" t="n">
        <f aca="false">(SUMPRODUCT($D$23:$M$23,$D$25:$M$25,(1+$A59)^(-$D$26:$M$26))+$M$23*(1+C$54)/($A59-C$54)*(1+$A59)^(-$M$26)+Assumptions!$B$22-Assumptions!$B$23-Assumptions!$B$24)/Assumptions!$B$20</f>
        <v>139.581293571852</v>
      </c>
      <c r="D59" s="28" t="n">
        <f aca="false">(SUMPRODUCT($D$23:$M$23,$D$25:$M$25,(1+$A59)^(-$D$26:$M$26))+$M$23*(1+D$54)/($A59-D$54)*(1+$A59)^(-$M$26)+Assumptions!$B$22-Assumptions!$B$23-Assumptions!$B$24)/Assumptions!$B$20</f>
        <v>143.788666124461</v>
      </c>
      <c r="E59" s="28" t="n">
        <f aca="false">(SUMPRODUCT($D$23:$M$23,$D$25:$M$25,(1+$A59)^(-$D$26:$M$26))+$M$23*(1+E$54)/($A59-E$54)*(1+$A59)^(-$M$26)+Assumptions!$B$22-Assumptions!$B$23-Assumptions!$B$24)/Assumptions!$B$20</f>
        <v>148.425362406928</v>
      </c>
      <c r="F59" s="28" t="n">
        <f aca="false">(SUMPRODUCT($D$23:$M$23,$D$25:$M$25,(1+$A59)^(-$D$26:$M$26))+$M$23*(1+F$54)/($A59-F$54)*(1+$A59)^(-$M$26)+Assumptions!$B$22-Assumptions!$B$23-Assumptions!$B$24)/Assumptions!$B$20</f>
        <v>153.560628182134</v>
      </c>
    </row>
    <row r="60" customFormat="false" ht="14.25" hidden="false" customHeight="true" outlineLevel="0" collapsed="false">
      <c r="A60" s="6" t="s">
        <v>408</v>
      </c>
      <c r="B60" s="30" t="n">
        <f aca="false">ROUND(D57-B43,6)</f>
        <v>0</v>
      </c>
    </row>
    <row r="63" customFormat="false" ht="14.25" hidden="false" customHeight="true" outlineLevel="0" collapsed="false">
      <c r="A63" s="9" t="s">
        <v>409</v>
      </c>
      <c r="B63" s="9" t="s">
        <v>241</v>
      </c>
      <c r="C63" s="9" t="s">
        <v>410</v>
      </c>
      <c r="D63" s="9" t="s">
        <v>411</v>
      </c>
      <c r="E63" s="9" t="s">
        <v>412</v>
      </c>
      <c r="F63" s="9" t="s">
        <v>413</v>
      </c>
      <c r="G63" s="9" t="s">
        <v>414</v>
      </c>
      <c r="H63" s="9" t="s">
        <v>415</v>
      </c>
      <c r="I63" s="9" t="s">
        <v>416</v>
      </c>
    </row>
    <row r="64" customFormat="false" ht="14.25" hidden="false" customHeight="true" outlineLevel="0" collapsed="false">
      <c r="A64" s="6" t="s">
        <v>417</v>
      </c>
      <c r="B64" s="6" t="s">
        <v>418</v>
      </c>
      <c r="C64" s="15" t="n">
        <f aca="false">'Operating Model'!E82</f>
        <v>3121.48394666667</v>
      </c>
      <c r="D64" s="53" t="n">
        <f aca="false">Assumptions!$B$73</f>
        <v>35</v>
      </c>
      <c r="E64" s="28" t="n">
        <f aca="false">C64*D64</f>
        <v>109251.938133333</v>
      </c>
      <c r="F64" s="47" t="n">
        <f aca="false">1/(1+Assumptions!$B$13)^((DATE(2028,3,31)-Assumptions!$B$25)/365)</f>
        <v>0.803363209120568</v>
      </c>
      <c r="G64" s="28" t="n">
        <f aca="false">E64*F64</f>
        <v>87768.9876214364</v>
      </c>
      <c r="H64" s="43" t="n">
        <f aca="false">G64/Assumptions!$B$20</f>
        <v>90.7876779120108</v>
      </c>
      <c r="I64" s="13" t="n">
        <f aca="false">G64/$G$69</f>
        <v>0.378426923275745</v>
      </c>
    </row>
    <row r="65" customFormat="false" ht="14.25" hidden="false" customHeight="true" outlineLevel="0" collapsed="false">
      <c r="A65" s="6" t="s">
        <v>419</v>
      </c>
      <c r="B65" s="6" t="s">
        <v>420</v>
      </c>
      <c r="C65" s="15" t="n">
        <f aca="false">'Operating Model'!E86</f>
        <v>134490.188444444</v>
      </c>
      <c r="D65" s="53" t="n">
        <f aca="false">Assumptions!$B$44*Assumptions!$B$74</f>
        <v>1.25</v>
      </c>
      <c r="E65" s="28" t="n">
        <f aca="false">C65*D65</f>
        <v>168112.735555556</v>
      </c>
      <c r="F65" s="47" t="n">
        <f aca="false">1/(1+Assumptions!$B$13)^((DATE(2028,3,31)-Assumptions!$B$25)/365)</f>
        <v>0.803363209120568</v>
      </c>
      <c r="G65" s="28" t="n">
        <f aca="false">E65*F65</f>
        <v>135055.586729948</v>
      </c>
      <c r="H65" s="43" t="n">
        <f aca="false">G65/Assumptions!$B$20</f>
        <v>139.700632769536</v>
      </c>
      <c r="I65" s="13" t="n">
        <f aca="false">G65/$G$69</f>
        <v>0.582308985696131</v>
      </c>
    </row>
    <row r="66" customFormat="false" ht="14.25" hidden="false" customHeight="true" outlineLevel="0" collapsed="false">
      <c r="A66" s="6" t="s">
        <v>421</v>
      </c>
      <c r="B66" s="6" t="s">
        <v>420</v>
      </c>
      <c r="C66" s="15" t="n">
        <f aca="false">'Operating Model'!E93</f>
        <v>17939.558</v>
      </c>
      <c r="D66" s="53" t="n">
        <f aca="false">Assumptions!$B$50*Assumptions!$B$75</f>
        <v>0.8</v>
      </c>
      <c r="E66" s="28" t="n">
        <f aca="false">C66*D66</f>
        <v>14351.6464</v>
      </c>
      <c r="F66" s="47" t="n">
        <f aca="false">1/(1+Assumptions!$B$13)^((DATE(2028,3,31)-Assumptions!$B$25)/365)</f>
        <v>0.803363209120568</v>
      </c>
      <c r="G66" s="28" t="n">
        <f aca="false">E66*F66</f>
        <v>11529.5847080676</v>
      </c>
      <c r="H66" s="43" t="n">
        <f aca="false">G66/Assumptions!$B$20</f>
        <v>11.9261284800286</v>
      </c>
      <c r="I66" s="13" t="n">
        <f aca="false">G66/$G$69</f>
        <v>0.0497112406780853</v>
      </c>
    </row>
    <row r="67" customFormat="false" ht="14.25" hidden="false" customHeight="true" outlineLevel="0" collapsed="false">
      <c r="A67" s="6" t="s">
        <v>422</v>
      </c>
      <c r="B67" s="6" t="s">
        <v>423</v>
      </c>
      <c r="C67" s="15" t="n">
        <f aca="false">'Operating Model'!E100</f>
        <v>5368</v>
      </c>
      <c r="D67" s="53" t="n">
        <f aca="false">Assumptions!$B$76</f>
        <v>0.4</v>
      </c>
      <c r="E67" s="28" t="n">
        <f aca="false">C67*D67</f>
        <v>2147.2</v>
      </c>
      <c r="F67" s="47" t="n">
        <f aca="false">1/(1+Assumptions!$B$13)^((DATE(2028,3,31)-Assumptions!$B$25)/365)</f>
        <v>0.803363209120568</v>
      </c>
      <c r="G67" s="28" t="n">
        <f aca="false">E67*F67</f>
        <v>1724.98148262368</v>
      </c>
      <c r="H67" s="43" t="n">
        <f aca="false">G67/Assumptions!$B$20</f>
        <v>1.78430978290528</v>
      </c>
      <c r="I67" s="13" t="n">
        <f aca="false">G67/$G$69</f>
        <v>0.00743747253862002</v>
      </c>
    </row>
    <row r="68" customFormat="false" ht="14.25" hidden="false" customHeight="true" outlineLevel="0" collapsed="false">
      <c r="A68" s="6" t="s">
        <v>424</v>
      </c>
      <c r="B68" s="6" t="s">
        <v>425</v>
      </c>
      <c r="C68" s="15" t="n">
        <f aca="false">'Operating Model'!E116</f>
        <v>-516.329446111111</v>
      </c>
      <c r="D68" s="53" t="n">
        <f aca="false">Assumptions!$B$77</f>
        <v>10</v>
      </c>
      <c r="E68" s="28" t="n">
        <f aca="false">C68*D68</f>
        <v>-5163.29446111111</v>
      </c>
      <c r="F68" s="47" t="n">
        <f aca="false">1/(1+Assumptions!$B$13)^((DATE(2028,3,31)-Assumptions!$B$25)/365)</f>
        <v>0.803363209120568</v>
      </c>
      <c r="G68" s="28" t="n">
        <f aca="false">E68*F68</f>
        <v>-4148.00080791267</v>
      </c>
      <c r="H68" s="43" t="n">
        <f aca="false">G68/Assumptions!$B$20</f>
        <v>-4.29066543357918</v>
      </c>
      <c r="I68" s="13" t="n">
        <f aca="false">G68/$G$69</f>
        <v>-0.0178846221885817</v>
      </c>
    </row>
    <row r="69" customFormat="false" ht="14.25" hidden="false" customHeight="true" outlineLevel="0" collapsed="false">
      <c r="A69" s="5" t="s">
        <v>426</v>
      </c>
      <c r="E69" s="41" t="n">
        <f aca="false">SUM(E64:E68)</f>
        <v>288700.225627778</v>
      </c>
      <c r="G69" s="41" t="n">
        <f aca="false">SUM(G64:G68)</f>
        <v>231931.139734164</v>
      </c>
      <c r="H69" s="48" t="n">
        <f aca="false">SUM(H64:H68)</f>
        <v>239.908083510901</v>
      </c>
    </row>
    <row r="70" customFormat="false" ht="14.25" hidden="false" customHeight="true" outlineLevel="0" collapsed="false">
      <c r="A70" s="6" t="s">
        <v>393</v>
      </c>
      <c r="G70" s="15" t="n">
        <f aca="false">Assumptions!B22</f>
        <v>18288</v>
      </c>
    </row>
    <row r="71" customFormat="false" ht="14.25" hidden="false" customHeight="true" outlineLevel="0" collapsed="false">
      <c r="A71" s="6" t="s">
        <v>394</v>
      </c>
      <c r="G71" s="15" t="n">
        <f aca="false">-Assumptions!B23</f>
        <v>-0</v>
      </c>
    </row>
    <row r="72" customFormat="false" ht="14.25" hidden="false" customHeight="true" outlineLevel="0" collapsed="false">
      <c r="A72" s="6" t="s">
        <v>395</v>
      </c>
      <c r="G72" s="15" t="n">
        <f aca="false">-Assumptions!B24</f>
        <v>-447</v>
      </c>
    </row>
    <row r="73" customFormat="false" ht="14.25" hidden="false" customHeight="true" outlineLevel="0" collapsed="false">
      <c r="A73" s="5" t="s">
        <v>396</v>
      </c>
      <c r="G73" s="41" t="n">
        <f aca="false">SUM(G69:G72)</f>
        <v>249772.139734164</v>
      </c>
    </row>
    <row r="74" customFormat="false" ht="14.25" hidden="false" customHeight="true" outlineLevel="0" collapsed="false">
      <c r="A74" s="5" t="s">
        <v>37</v>
      </c>
      <c r="G74" s="48" t="n">
        <f aca="false">G73/Assumptions!B20</f>
        <v>258.362699492282</v>
      </c>
    </row>
    <row r="75" customFormat="false" ht="14.25" hidden="false" customHeight="true" outlineLevel="0" collapsed="false">
      <c r="A75" s="6" t="s">
        <v>398</v>
      </c>
      <c r="G75" s="13" t="n">
        <f aca="false">G74/Assumptions!B19-1</f>
        <v>-0.18446117584507</v>
      </c>
    </row>
    <row r="76" customFormat="false" ht="14.25" hidden="false" customHeight="true" outlineLevel="0" collapsed="false">
      <c r="A76" s="6" t="s">
        <v>427</v>
      </c>
      <c r="G76" s="49" t="n">
        <f aca="false">E69/'Operating Model'!E110</f>
        <v>60.1871821530508</v>
      </c>
    </row>
    <row r="77" customFormat="false" ht="14.25" hidden="false" customHeight="true" outlineLevel="0" collapsed="false">
      <c r="A77" s="5" t="s">
        <v>428</v>
      </c>
      <c r="G77" s="48" t="n">
        <f aca="false">0.5*B43+0.5*G74</f>
        <v>222.914224073471</v>
      </c>
    </row>
    <row r="78" customFormat="false" ht="14.25" hidden="false" customHeight="true" outlineLevel="0" collapsed="false">
      <c r="A78" s="6" t="s">
        <v>429</v>
      </c>
      <c r="G78" s="28" t="n">
        <f aca="false">Assumptions!B21-Assumptions!B22+Assumptions!B23+Assumptions!B24</f>
        <v>288425.4</v>
      </c>
    </row>
    <row r="81" customFormat="false" ht="14.25" hidden="false" customHeight="true" outlineLevel="0" collapsed="false">
      <c r="A81" s="9" t="s">
        <v>430</v>
      </c>
      <c r="B81" s="9"/>
      <c r="C81" s="9"/>
      <c r="D81" s="9"/>
      <c r="E81" s="9"/>
      <c r="F81" s="9"/>
      <c r="G81" s="9"/>
      <c r="H81" s="9"/>
    </row>
    <row r="82" customFormat="false" ht="14.25" hidden="false" customHeight="true" outlineLevel="0" collapsed="false">
      <c r="B82" s="5" t="s">
        <v>121</v>
      </c>
      <c r="C82" s="5" t="s">
        <v>122</v>
      </c>
      <c r="D82" s="5" t="s">
        <v>123</v>
      </c>
    </row>
    <row r="83" customFormat="false" ht="14.25" hidden="false" customHeight="true" outlineLevel="0" collapsed="false">
      <c r="A83" s="6" t="s">
        <v>36</v>
      </c>
      <c r="B83" s="54" t="n">
        <v>55.981812013906</v>
      </c>
      <c r="C83" s="54" t="n">
        <v>187.46574865466</v>
      </c>
      <c r="D83" s="54" t="n">
        <v>368.012414522394</v>
      </c>
    </row>
    <row r="84" customFormat="false" ht="14.25" hidden="false" customHeight="true" outlineLevel="0" collapsed="false">
      <c r="A84" s="6" t="s">
        <v>37</v>
      </c>
      <c r="B84" s="54" t="n">
        <v>173.16064284275</v>
      </c>
      <c r="C84" s="54" t="n">
        <v>258.362699492282</v>
      </c>
      <c r="D84" s="54" t="n">
        <v>330.095764399991</v>
      </c>
    </row>
    <row r="85" customFormat="false" ht="14.25" hidden="false" customHeight="true" outlineLevel="0" collapsed="false">
      <c r="A85" s="6" t="s">
        <v>38</v>
      </c>
      <c r="B85" s="54" t="n">
        <v>114.571227428328</v>
      </c>
      <c r="C85" s="54" t="n">
        <v>222.914224073471</v>
      </c>
      <c r="D85" s="54" t="n">
        <v>349.054089461193</v>
      </c>
    </row>
    <row r="86" customFormat="false" ht="14.25" hidden="false" customHeight="true" outlineLevel="0" collapsed="false">
      <c r="A86" s="6" t="s">
        <v>431</v>
      </c>
      <c r="B86" s="55" t="n">
        <v>-0.638348398269167</v>
      </c>
      <c r="C86" s="55" t="n">
        <v>-0.2963566159297</v>
      </c>
      <c r="D86" s="55" t="n">
        <v>0.101812151076998</v>
      </c>
    </row>
    <row r="87" customFormat="false" ht="14.25" hidden="false" customHeight="true" outlineLevel="0" collapsed="false">
      <c r="A87" s="6" t="s">
        <v>432</v>
      </c>
      <c r="B87" s="56" t="n">
        <v>4144.0701571708</v>
      </c>
      <c r="C87" s="56" t="n">
        <v>9186.6154072842</v>
      </c>
      <c r="D87" s="56" t="n">
        <v>16068.578680519</v>
      </c>
    </row>
    <row r="88" customFormat="false" ht="14.25" hidden="false" customHeight="true" outlineLevel="0" collapsed="false">
      <c r="A88" s="6" t="s">
        <v>433</v>
      </c>
      <c r="B88" s="56" t="n">
        <v>438.062384478943</v>
      </c>
      <c r="C88" s="56" t="n">
        <v>971.100994427505</v>
      </c>
      <c r="D88" s="56" t="n">
        <v>1698.58125586882</v>
      </c>
    </row>
    <row r="89" customFormat="false" ht="14.25" hidden="false" customHeight="true" outlineLevel="0" collapsed="false">
      <c r="A89" s="6" t="s">
        <v>434</v>
      </c>
      <c r="B89" s="54" t="n">
        <v>18.8008562602772</v>
      </c>
      <c r="C89" s="54" t="n">
        <v>21.8321118863049</v>
      </c>
      <c r="D89" s="54" t="n">
        <v>23.9678232675593</v>
      </c>
    </row>
    <row r="90" customFormat="false" ht="14.25" hidden="false" customHeight="true" outlineLevel="0" collapsed="false">
      <c r="A90" s="6" t="s">
        <v>435</v>
      </c>
      <c r="B90" s="56" t="n">
        <v>769162.101399135</v>
      </c>
      <c r="C90" s="56" t="n">
        <v>1302818.85002362</v>
      </c>
      <c r="D90" s="56" t="n">
        <v>1907572.33055089</v>
      </c>
    </row>
    <row r="91" customFormat="false" ht="14.25" hidden="false" customHeight="true" outlineLevel="0" collapsed="false">
      <c r="A91" s="6" t="s">
        <v>436</v>
      </c>
      <c r="B91" s="55" t="n">
        <v>0.890230621983692</v>
      </c>
      <c r="C91" s="55" t="n">
        <v>0.714443951276961</v>
      </c>
      <c r="D91" s="55" t="n">
        <v>0.694710566321266</v>
      </c>
    </row>
    <row r="92" customFormat="false" ht="14.25" hidden="false" customHeight="true" outlineLevel="0" collapsed="false">
      <c r="A92" s="6" t="s">
        <v>401</v>
      </c>
      <c r="B92" s="57" t="n">
        <v>14.3932443773092</v>
      </c>
      <c r="C92" s="57" t="n">
        <v>34.0632734333047</v>
      </c>
      <c r="D92" s="57" t="n">
        <v>44.0057995102655</v>
      </c>
    </row>
    <row r="95" customFormat="false" ht="14.25" hidden="false" customHeight="true" outlineLevel="0" collapsed="false">
      <c r="A95" s="9" t="s">
        <v>437</v>
      </c>
      <c r="B95" s="9"/>
      <c r="C95" s="9"/>
      <c r="D95" s="9"/>
      <c r="E95" s="9"/>
      <c r="F95" s="9"/>
      <c r="G95" s="9"/>
      <c r="H95" s="9"/>
    </row>
    <row r="96" customFormat="false" ht="14.25" hidden="false" customHeight="true" outlineLevel="0" collapsed="false">
      <c r="A96" s="5" t="s">
        <v>438</v>
      </c>
      <c r="B96" s="58" t="n">
        <v>0.5</v>
      </c>
      <c r="C96" s="58" t="n">
        <v>0.6</v>
      </c>
      <c r="D96" s="58" t="n">
        <v>0.7</v>
      </c>
      <c r="E96" s="58" t="n">
        <v>0.8</v>
      </c>
      <c r="F96" s="58" t="n">
        <v>0.9</v>
      </c>
    </row>
    <row r="97" customFormat="false" ht="14.25" hidden="false" customHeight="true" outlineLevel="0" collapsed="false">
      <c r="A97" s="59" t="n">
        <v>0.03</v>
      </c>
      <c r="B97" s="56" t="n">
        <v>67.4411504288489</v>
      </c>
      <c r="C97" s="56" t="n">
        <v>74.6070367556648</v>
      </c>
      <c r="D97" s="56" t="n">
        <v>84.468214888027</v>
      </c>
      <c r="E97" s="56" t="n">
        <v>97.8061091708273</v>
      </c>
      <c r="F97" s="56" t="n">
        <v>115.579791571231</v>
      </c>
    </row>
    <row r="98" customFormat="false" ht="14.25" hidden="false" customHeight="true" outlineLevel="0" collapsed="false">
      <c r="A98" s="59" t="n">
        <v>0.04</v>
      </c>
      <c r="B98" s="56" t="n">
        <v>93.8983295545601</v>
      </c>
      <c r="C98" s="56" t="n">
        <v>111.802001539355</v>
      </c>
      <c r="D98" s="56" t="n">
        <v>136.012621226327</v>
      </c>
      <c r="E98" s="56" t="n">
        <v>168.304146684888</v>
      </c>
      <c r="F98" s="56" t="n">
        <v>210.831596585629</v>
      </c>
    </row>
    <row r="99" customFormat="false" ht="14.25" hidden="false" customHeight="true" outlineLevel="0" collapsed="false">
      <c r="A99" s="59" t="n">
        <v>0.05</v>
      </c>
      <c r="B99" s="56" t="n">
        <v>120.353446064437</v>
      </c>
      <c r="C99" s="56" t="n">
        <v>148.951634139201</v>
      </c>
      <c r="D99" s="56" t="n">
        <v>187.46574865466</v>
      </c>
      <c r="E99" s="56" t="n">
        <v>238.674525139656</v>
      </c>
      <c r="F99" s="56" t="n">
        <v>305.977564474171</v>
      </c>
    </row>
    <row r="100" customFormat="false" ht="14.25" hidden="false" customHeight="true" outlineLevel="0" collapsed="false">
      <c r="A100" s="59" t="n">
        <v>0.06</v>
      </c>
      <c r="B100" s="56" t="n">
        <v>146.808562574313</v>
      </c>
      <c r="C100" s="56" t="n">
        <v>186.101266739047</v>
      </c>
      <c r="D100" s="56" t="n">
        <v>238.918876082993</v>
      </c>
      <c r="E100" s="56" t="n">
        <v>309.038781726969</v>
      </c>
      <c r="F100" s="56" t="n">
        <v>401.080849007365</v>
      </c>
    </row>
    <row r="101" customFormat="false" ht="14.25" hidden="false" customHeight="true" outlineLevel="0" collapsed="false">
      <c r="A101" s="59" t="n">
        <v>0.07</v>
      </c>
      <c r="B101" s="56" t="n">
        <v>173.263679084189</v>
      </c>
      <c r="C101" s="56" t="n">
        <v>223.250899338894</v>
      </c>
      <c r="D101" s="56" t="n">
        <v>290.372003511326</v>
      </c>
      <c r="E101" s="56" t="n">
        <v>379.403038314282</v>
      </c>
      <c r="F101" s="56" t="n">
        <v>496.184133540558</v>
      </c>
    </row>
    <row r="104" customFormat="false" ht="14.25" hidden="false" customHeight="true" outlineLevel="0" collapsed="false">
      <c r="A104" s="9" t="s">
        <v>439</v>
      </c>
      <c r="B104" s="9"/>
      <c r="C104" s="9"/>
      <c r="D104" s="9"/>
      <c r="E104" s="9"/>
      <c r="F104" s="9"/>
      <c r="G104" s="9"/>
      <c r="H104" s="9"/>
    </row>
    <row r="105" customFormat="false" ht="14.25" hidden="false" customHeight="true" outlineLevel="0" collapsed="false">
      <c r="A105" s="5" t="s">
        <v>440</v>
      </c>
      <c r="B105" s="58" t="n">
        <v>0</v>
      </c>
      <c r="C105" s="58" t="n">
        <v>0.02</v>
      </c>
      <c r="D105" s="58" t="n">
        <v>0.04</v>
      </c>
      <c r="E105" s="58" t="n">
        <v>0.06</v>
      </c>
      <c r="F105" s="58" t="n">
        <v>0.08</v>
      </c>
    </row>
    <row r="106" customFormat="false" ht="14.25" hidden="false" customHeight="true" outlineLevel="0" collapsed="false">
      <c r="A106" s="59" t="n">
        <v>0.05</v>
      </c>
      <c r="B106" s="56" t="n">
        <v>164.956731717415</v>
      </c>
      <c r="C106" s="56" t="n">
        <v>172.390003376567</v>
      </c>
      <c r="D106" s="56" t="n">
        <v>179.823275035719</v>
      </c>
      <c r="E106" s="56" t="n">
        <v>187.256546694871</v>
      </c>
      <c r="F106" s="56" t="n">
        <v>194.689818354024</v>
      </c>
    </row>
    <row r="107" customFormat="false" ht="14.25" hidden="false" customHeight="true" outlineLevel="0" collapsed="false">
      <c r="A107" s="59" t="n">
        <v>0.055</v>
      </c>
      <c r="B107" s="56" t="n">
        <v>168.777968526885</v>
      </c>
      <c r="C107" s="56" t="n">
        <v>176.211240186037</v>
      </c>
      <c r="D107" s="56" t="n">
        <v>183.64451184519</v>
      </c>
      <c r="E107" s="56" t="n">
        <v>191.077783504342</v>
      </c>
      <c r="F107" s="56" t="n">
        <v>198.511055163494</v>
      </c>
    </row>
    <row r="108" customFormat="false" ht="14.25" hidden="false" customHeight="true" outlineLevel="0" collapsed="false">
      <c r="A108" s="59" t="n">
        <v>0.06</v>
      </c>
      <c r="B108" s="56" t="n">
        <v>172.599205336356</v>
      </c>
      <c r="C108" s="56" t="n">
        <v>180.032476995508</v>
      </c>
      <c r="D108" s="56" t="n">
        <v>187.46574865466</v>
      </c>
      <c r="E108" s="56" t="n">
        <v>194.899020313812</v>
      </c>
      <c r="F108" s="56" t="n">
        <v>202.332291972965</v>
      </c>
    </row>
    <row r="109" customFormat="false" ht="14.25" hidden="false" customHeight="true" outlineLevel="0" collapsed="false">
      <c r="A109" s="59" t="n">
        <v>0.065</v>
      </c>
      <c r="B109" s="56" t="n">
        <v>176.420442145826</v>
      </c>
      <c r="C109" s="56" t="n">
        <v>183.853713804978</v>
      </c>
      <c r="D109" s="56" t="n">
        <v>191.28698546413</v>
      </c>
      <c r="E109" s="56" t="n">
        <v>198.720257123283</v>
      </c>
      <c r="F109" s="56" t="n">
        <v>206.153528782435</v>
      </c>
    </row>
    <row r="110" customFormat="false" ht="14.25" hidden="false" customHeight="true" outlineLevel="0" collapsed="false">
      <c r="A110" s="59" t="n">
        <v>0.07</v>
      </c>
      <c r="B110" s="56" t="n">
        <v>180.241678955296</v>
      </c>
      <c r="C110" s="56" t="n">
        <v>187.674950614449</v>
      </c>
      <c r="D110" s="56" t="n">
        <v>195.108222273601</v>
      </c>
      <c r="E110" s="56" t="n">
        <v>202.541493932753</v>
      </c>
      <c r="F110" s="56" t="n">
        <v>209.974765591905</v>
      </c>
    </row>
    <row r="113" customFormat="false" ht="14.25" hidden="false" customHeight="true" outlineLevel="0" collapsed="false">
      <c r="A113" s="9" t="s">
        <v>441</v>
      </c>
      <c r="B113" s="60"/>
      <c r="C113" s="60"/>
      <c r="D113" s="60"/>
      <c r="E113" s="60"/>
      <c r="F113" s="60"/>
      <c r="G113" s="60"/>
      <c r="H113" s="60"/>
      <c r="I113" s="60"/>
    </row>
    <row r="114" customFormat="false" ht="14.25" hidden="false" customHeight="true" outlineLevel="0" collapsed="false">
      <c r="A114" s="5" t="s">
        <v>31</v>
      </c>
    </row>
    <row r="115" customFormat="false" ht="14.25" hidden="false" customHeight="true" outlineLevel="0" collapsed="false">
      <c r="A115" s="6" t="s">
        <v>442</v>
      </c>
    </row>
    <row r="116" customFormat="false" ht="14.25" hidden="false" customHeight="true" outlineLevel="0" collapsed="false">
      <c r="A116" s="6"/>
    </row>
    <row r="117" customFormat="false" ht="14.25" hidden="false" customHeight="true" outlineLevel="0" collapsed="false">
      <c r="A117" s="6" t="s">
        <v>443</v>
      </c>
    </row>
    <row r="118" customFormat="false" ht="14.25" hidden="false" customHeight="true" outlineLevel="0" collapsed="false">
      <c r="A118" s="6" t="s">
        <v>444</v>
      </c>
    </row>
    <row r="119" customFormat="false" ht="14.25" hidden="false" customHeight="true" outlineLevel="0" collapsed="false">
      <c r="A119" s="6"/>
    </row>
    <row r="120" customFormat="false" ht="14.25" hidden="false" customHeight="true" outlineLevel="0" collapsed="false">
      <c r="A120" s="6" t="s">
        <v>445</v>
      </c>
    </row>
    <row r="121" customFormat="false" ht="14.25" hidden="false" customHeight="true" outlineLevel="0" collapsed="false">
      <c r="A121" s="6" t="s">
        <v>446</v>
      </c>
    </row>
    <row r="122" customFormat="false" ht="14.25" hidden="false" customHeight="true" outlineLevel="0" collapsed="false">
      <c r="A122" s="6" t="s">
        <v>447</v>
      </c>
    </row>
    <row r="123" customFormat="false" ht="14.25" hidden="false" customHeight="true" outlineLevel="0" collapsed="false">
      <c r="A123" s="6"/>
    </row>
    <row r="124" customFormat="false" ht="14.25" hidden="false" customHeight="true" outlineLevel="0" collapsed="false">
      <c r="A124" s="6" t="s">
        <v>448</v>
      </c>
    </row>
    <row r="125" customFormat="false" ht="14.25" hidden="false" customHeight="true" outlineLevel="0" collapsed="false">
      <c r="A125" s="6" t="s">
        <v>449</v>
      </c>
    </row>
    <row r="126" customFormat="false" ht="14.25" hidden="false" customHeight="true" outlineLevel="0" collapsed="false">
      <c r="A126" s="8" t="s">
        <v>450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J21" activeCellId="0" sqref="J21"/>
    </sheetView>
  </sheetViews>
  <sheetFormatPr defaultColWidth="8.66796875" defaultRowHeight="14.25" zeroHeight="false" outlineLevelRow="0" outlineLevelCol="0"/>
  <cols>
    <col collapsed="false" customWidth="true" hidden="false" outlineLevel="0" max="1" min="1" style="2" width="66"/>
    <col collapsed="false" customWidth="true" hidden="false" outlineLevel="0" max="4" min="2" style="2" width="16"/>
    <col collapsed="false" customWidth="true" hidden="false" outlineLevel="0" max="5" min="5" style="2" width="14"/>
    <col collapsed="false" customWidth="true" hidden="false" outlineLevel="0" max="6" min="6" style="2" width="20"/>
    <col collapsed="false" customWidth="true" hidden="false" outlineLevel="0" max="7" min="7" style="2" width="100"/>
  </cols>
  <sheetData>
    <row r="1" customFormat="false" ht="15.75" hidden="false" customHeight="true" outlineLevel="0" collapsed="false">
      <c r="A1" s="20" t="s">
        <v>451</v>
      </c>
    </row>
    <row r="2" customFormat="false" ht="14.25" hidden="false" customHeight="true" outlineLevel="0" collapsed="false">
      <c r="A2" s="8" t="s">
        <v>452</v>
      </c>
    </row>
    <row r="4" customFormat="false" ht="14.25" hidden="false" customHeight="true" outlineLevel="0" collapsed="false">
      <c r="A4" s="9" t="s">
        <v>453</v>
      </c>
      <c r="B4" s="9"/>
      <c r="C4" s="9"/>
      <c r="D4" s="9"/>
      <c r="E4" s="9"/>
      <c r="F4" s="9"/>
      <c r="G4" s="9"/>
    </row>
    <row r="5" customFormat="false" ht="14.25" hidden="false" customHeight="true" outlineLevel="0" collapsed="false">
      <c r="A5" s="5" t="s">
        <v>454</v>
      </c>
      <c r="B5" s="5" t="s">
        <v>455</v>
      </c>
      <c r="C5" s="5" t="s">
        <v>456</v>
      </c>
      <c r="D5" s="5" t="s">
        <v>457</v>
      </c>
      <c r="G5" s="5" t="s">
        <v>458</v>
      </c>
    </row>
    <row r="6" customFormat="false" ht="14.25" hidden="false" customHeight="true" outlineLevel="0" collapsed="false">
      <c r="A6" s="6" t="s">
        <v>459</v>
      </c>
      <c r="B6" s="31" t="n">
        <v>25.4</v>
      </c>
      <c r="C6" s="6" t="s">
        <v>460</v>
      </c>
      <c r="D6" s="6" t="s">
        <v>461</v>
      </c>
      <c r="G6" s="6" t="s">
        <v>462</v>
      </c>
    </row>
    <row r="7" customFormat="false" ht="14.25" hidden="false" customHeight="true" outlineLevel="0" collapsed="false">
      <c r="A7" s="6" t="s">
        <v>463</v>
      </c>
      <c r="B7" s="31" t="n">
        <v>27.2</v>
      </c>
      <c r="C7" s="6" t="s">
        <v>460</v>
      </c>
      <c r="D7" s="6" t="s">
        <v>461</v>
      </c>
      <c r="G7" s="6" t="s">
        <v>464</v>
      </c>
    </row>
    <row r="8" customFormat="false" ht="14.25" hidden="false" customHeight="true" outlineLevel="0" collapsed="false">
      <c r="A8" s="6" t="s">
        <v>465</v>
      </c>
      <c r="B8" s="29" t="n">
        <v>853</v>
      </c>
      <c r="C8" s="6" t="s">
        <v>460</v>
      </c>
      <c r="D8" s="6" t="s">
        <v>461</v>
      </c>
      <c r="G8" s="6" t="s">
        <v>466</v>
      </c>
    </row>
    <row r="9" customFormat="false" ht="14.25" hidden="false" customHeight="true" outlineLevel="0" collapsed="false">
      <c r="A9" s="6" t="s">
        <v>467</v>
      </c>
      <c r="B9" s="31" t="n">
        <v>20.6</v>
      </c>
      <c r="C9" s="6" t="s">
        <v>460</v>
      </c>
      <c r="D9" s="6" t="s">
        <v>461</v>
      </c>
      <c r="G9" s="6" t="s">
        <v>466</v>
      </c>
    </row>
    <row r="10" customFormat="false" ht="14.25" hidden="false" customHeight="true" outlineLevel="0" collapsed="false">
      <c r="A10" s="6" t="s">
        <v>468</v>
      </c>
      <c r="B10" s="30" t="n">
        <f aca="false">B8/(B9*12)</f>
        <v>3.45064724919094</v>
      </c>
      <c r="C10" s="6" t="s">
        <v>469</v>
      </c>
      <c r="D10" s="6" t="s">
        <v>470</v>
      </c>
      <c r="G10" s="6" t="s">
        <v>471</v>
      </c>
    </row>
    <row r="11" customFormat="false" ht="14.25" hidden="false" customHeight="true" outlineLevel="0" collapsed="false">
      <c r="A11" s="6" t="s">
        <v>472</v>
      </c>
      <c r="B11" s="23" t="n">
        <v>3.4</v>
      </c>
      <c r="C11" s="6" t="s">
        <v>469</v>
      </c>
      <c r="D11" s="6" t="s">
        <v>473</v>
      </c>
      <c r="G11" s="6" t="s">
        <v>474</v>
      </c>
    </row>
    <row r="12" customFormat="false" ht="14.25" hidden="false" customHeight="true" outlineLevel="0" collapsed="false">
      <c r="A12" s="6" t="s">
        <v>475</v>
      </c>
      <c r="B12" s="15" t="n">
        <f aca="false">'Operating Model'!L6</f>
        <v>32862</v>
      </c>
      <c r="C12" s="6" t="s">
        <v>476</v>
      </c>
      <c r="D12" s="6" t="s">
        <v>470</v>
      </c>
      <c r="G12" s="6" t="s">
        <v>477</v>
      </c>
    </row>
    <row r="13" customFormat="false" ht="14.25" hidden="false" customHeight="true" outlineLevel="0" collapsed="false">
      <c r="A13" s="6" t="s">
        <v>478</v>
      </c>
      <c r="B13" s="28" t="n">
        <f aca="false">B12*10/B8</f>
        <v>385.25205158265</v>
      </c>
      <c r="C13" s="6" t="s">
        <v>479</v>
      </c>
      <c r="D13" s="6" t="s">
        <v>470</v>
      </c>
      <c r="G13" s="6" t="s">
        <v>480</v>
      </c>
    </row>
    <row r="14" customFormat="false" ht="14.25" hidden="false" customHeight="true" outlineLevel="0" collapsed="false">
      <c r="A14" s="6" t="s">
        <v>481</v>
      </c>
      <c r="B14" s="37" t="n">
        <v>380</v>
      </c>
      <c r="C14" s="6" t="s">
        <v>479</v>
      </c>
      <c r="D14" s="6" t="s">
        <v>473</v>
      </c>
      <c r="G14" s="6" t="s">
        <v>482</v>
      </c>
    </row>
    <row r="15" customFormat="false" ht="14.25" hidden="false" customHeight="true" outlineLevel="0" collapsed="false">
      <c r="A15" s="6" t="s">
        <v>483</v>
      </c>
      <c r="B15" s="42" t="n">
        <f aca="false">'Operating Model'!J33</f>
        <v>0.32028287383417</v>
      </c>
      <c r="C15" s="6" t="s">
        <v>484</v>
      </c>
      <c r="D15" s="6" t="s">
        <v>470</v>
      </c>
      <c r="G15" s="6" t="s">
        <v>485</v>
      </c>
    </row>
    <row r="16" customFormat="false" ht="14.25" hidden="false" customHeight="true" outlineLevel="0" collapsed="false">
      <c r="A16" s="6" t="s">
        <v>486</v>
      </c>
      <c r="B16" s="42" t="n">
        <f aca="false">'Operating Model'!J45</f>
        <v>0.102285538587681</v>
      </c>
      <c r="C16" s="6" t="s">
        <v>484</v>
      </c>
      <c r="D16" s="6" t="s">
        <v>470</v>
      </c>
      <c r="G16" s="6" t="s">
        <v>487</v>
      </c>
    </row>
    <row r="17" customFormat="false" ht="14.25" hidden="false" customHeight="true" outlineLevel="0" collapsed="false">
      <c r="A17" s="6" t="s">
        <v>488</v>
      </c>
      <c r="B17" s="42" t="n">
        <f aca="false">'Operating Model'!J30</f>
        <v>0.0545249564415292</v>
      </c>
      <c r="C17" s="6" t="s">
        <v>484</v>
      </c>
      <c r="D17" s="6" t="s">
        <v>470</v>
      </c>
      <c r="G17" s="6" t="s">
        <v>489</v>
      </c>
    </row>
    <row r="18" customFormat="false" ht="14.25" hidden="false" customHeight="true" outlineLevel="0" collapsed="false">
      <c r="A18" s="6" t="s">
        <v>490</v>
      </c>
      <c r="B18" s="34" t="n">
        <v>0.7</v>
      </c>
      <c r="C18" s="6" t="s">
        <v>484</v>
      </c>
      <c r="D18" s="6" t="s">
        <v>473</v>
      </c>
      <c r="G18" s="6" t="s">
        <v>491</v>
      </c>
    </row>
    <row r="19" customFormat="false" ht="14.25" hidden="false" customHeight="true" outlineLevel="0" collapsed="false">
      <c r="A19" s="6" t="s">
        <v>492</v>
      </c>
      <c r="B19" s="34" t="n">
        <v>0.05</v>
      </c>
      <c r="C19" s="6" t="s">
        <v>484</v>
      </c>
      <c r="D19" s="6" t="s">
        <v>473</v>
      </c>
      <c r="G19" s="6" t="s">
        <v>493</v>
      </c>
    </row>
    <row r="20" customFormat="false" ht="14.25" hidden="false" customHeight="true" outlineLevel="0" collapsed="false">
      <c r="A20" s="6" t="s">
        <v>494</v>
      </c>
      <c r="B20" s="61" t="n">
        <f aca="false">Assumptions!B13</f>
        <v>0.133</v>
      </c>
      <c r="C20" s="6" t="s">
        <v>484</v>
      </c>
      <c r="D20" s="6" t="s">
        <v>473</v>
      </c>
      <c r="G20" s="6" t="s">
        <v>495</v>
      </c>
    </row>
    <row r="21" customFormat="false" ht="14.25" hidden="false" customHeight="true" outlineLevel="0" collapsed="false">
      <c r="A21" s="6" t="s">
        <v>496</v>
      </c>
      <c r="B21" s="32" t="n">
        <v>7</v>
      </c>
      <c r="C21" s="6" t="s">
        <v>497</v>
      </c>
      <c r="D21" s="6" t="s">
        <v>473</v>
      </c>
      <c r="G21" s="6" t="s">
        <v>139</v>
      </c>
    </row>
    <row r="22" customFormat="false" ht="14.25" hidden="false" customHeight="true" outlineLevel="0" collapsed="false">
      <c r="A22" s="6" t="s">
        <v>498</v>
      </c>
      <c r="B22" s="37" t="n">
        <v>250</v>
      </c>
      <c r="C22" s="6" t="s">
        <v>479</v>
      </c>
      <c r="D22" s="6" t="s">
        <v>473</v>
      </c>
      <c r="G22" s="6" t="s">
        <v>499</v>
      </c>
    </row>
    <row r="24" customFormat="false" ht="14.25" hidden="false" customHeight="true" outlineLevel="0" collapsed="false">
      <c r="A24" s="5" t="s">
        <v>500</v>
      </c>
      <c r="B24" s="5" t="s">
        <v>455</v>
      </c>
      <c r="C24" s="5" t="s">
        <v>456</v>
      </c>
      <c r="D24" s="5" t="s">
        <v>457</v>
      </c>
    </row>
    <row r="25" customFormat="false" ht="14.25" hidden="false" customHeight="true" outlineLevel="0" collapsed="false">
      <c r="A25" s="6" t="s">
        <v>501</v>
      </c>
      <c r="B25" s="43" t="n">
        <f aca="false">B11*12</f>
        <v>40.8</v>
      </c>
      <c r="C25" s="6" t="s">
        <v>502</v>
      </c>
      <c r="D25" s="6" t="s">
        <v>470</v>
      </c>
      <c r="G25" s="6"/>
    </row>
    <row r="26" customFormat="false" ht="14.25" hidden="false" customHeight="true" outlineLevel="0" collapsed="false">
      <c r="A26" s="6" t="s">
        <v>503</v>
      </c>
      <c r="B26" s="43" t="n">
        <f aca="false">B14*B15</f>
        <v>121.707492056985</v>
      </c>
      <c r="C26" s="6" t="s">
        <v>479</v>
      </c>
      <c r="D26" s="6" t="s">
        <v>470</v>
      </c>
      <c r="G26" s="6" t="s">
        <v>504</v>
      </c>
    </row>
    <row r="27" customFormat="false" ht="14.25" hidden="false" customHeight="true" outlineLevel="0" collapsed="false">
      <c r="A27" s="6" t="s">
        <v>505</v>
      </c>
      <c r="B27" s="43" t="n">
        <f aca="false">B14*B16</f>
        <v>38.8685046633186</v>
      </c>
      <c r="C27" s="6" t="s">
        <v>479</v>
      </c>
      <c r="D27" s="6" t="s">
        <v>470</v>
      </c>
      <c r="G27" s="6" t="s">
        <v>506</v>
      </c>
    </row>
    <row r="28" customFormat="false" ht="14.25" hidden="false" customHeight="true" outlineLevel="0" collapsed="false">
      <c r="A28" s="6" t="s">
        <v>507</v>
      </c>
      <c r="B28" s="43" t="n">
        <f aca="false">B14*B17</f>
        <v>20.7194834477811</v>
      </c>
      <c r="C28" s="6" t="s">
        <v>479</v>
      </c>
      <c r="D28" s="6" t="s">
        <v>470</v>
      </c>
      <c r="G28" s="6"/>
    </row>
    <row r="29" customFormat="false" ht="14.25" hidden="false" customHeight="true" outlineLevel="0" collapsed="false">
      <c r="A29" s="6" t="s">
        <v>508</v>
      </c>
      <c r="B29" s="28" t="n">
        <f aca="false">B25*B27</f>
        <v>1585.8349902634</v>
      </c>
      <c r="C29" s="6" t="s">
        <v>479</v>
      </c>
      <c r="D29" s="6" t="s">
        <v>470</v>
      </c>
      <c r="G29" s="6" t="s">
        <v>509</v>
      </c>
    </row>
    <row r="30" customFormat="false" ht="14.25" hidden="false" customHeight="true" outlineLevel="0" collapsed="false">
      <c r="A30" s="6" t="s">
        <v>510</v>
      </c>
      <c r="B30" s="28" t="n">
        <f aca="false">B25*B28</f>
        <v>845.354924669468</v>
      </c>
      <c r="C30" s="6" t="s">
        <v>479</v>
      </c>
      <c r="D30" s="6" t="s">
        <v>470</v>
      </c>
      <c r="G30" s="6"/>
    </row>
    <row r="31" customFormat="false" ht="14.25" hidden="false" customHeight="true" outlineLevel="0" collapsed="false">
      <c r="A31" s="6" t="s">
        <v>511</v>
      </c>
      <c r="B31" s="47" t="n">
        <f aca="false">B18*(1+B19)/(1+B20)</f>
        <v>0.648720211827008</v>
      </c>
      <c r="C31" s="6" t="s">
        <v>469</v>
      </c>
      <c r="D31" s="6" t="s">
        <v>470</v>
      </c>
      <c r="G31" s="6"/>
    </row>
    <row r="32" customFormat="false" ht="14.25" hidden="false" customHeight="true" outlineLevel="0" collapsed="false">
      <c r="A32" s="6" t="s">
        <v>512</v>
      </c>
      <c r="B32" s="47" t="n">
        <f aca="false">IF(B31=1,B21,(1-B31^B21)/(1-B31))</f>
        <v>2.70909234408848</v>
      </c>
      <c r="C32" s="6" t="s">
        <v>469</v>
      </c>
      <c r="D32" s="6" t="s">
        <v>470</v>
      </c>
      <c r="G32" s="6" t="s">
        <v>513</v>
      </c>
    </row>
    <row r="33" customFormat="false" ht="14.25" hidden="false" customHeight="true" outlineLevel="0" collapsed="false">
      <c r="A33" s="5" t="s">
        <v>514</v>
      </c>
      <c r="B33" s="62" t="n">
        <f aca="false">B29/(1+B20)^0.5*B32</f>
        <v>4036.14583642192</v>
      </c>
      <c r="C33" s="6" t="s">
        <v>479</v>
      </c>
      <c r="D33" s="6" t="s">
        <v>470</v>
      </c>
      <c r="G33" s="6" t="s">
        <v>515</v>
      </c>
    </row>
    <row r="34" customFormat="false" ht="14.25" hidden="false" customHeight="true" outlineLevel="0" collapsed="false">
      <c r="A34" s="5" t="s">
        <v>516</v>
      </c>
      <c r="B34" s="41" t="n">
        <f aca="false">B33-B22</f>
        <v>3786.14583642192</v>
      </c>
      <c r="C34" s="6" t="s">
        <v>479</v>
      </c>
      <c r="D34" s="6" t="s">
        <v>470</v>
      </c>
      <c r="G34" s="6"/>
    </row>
    <row r="35" customFormat="false" ht="14.25" hidden="false" customHeight="true" outlineLevel="0" collapsed="false">
      <c r="A35" s="6" t="s">
        <v>517</v>
      </c>
      <c r="B35" s="49" t="n">
        <f aca="false">B33/B22</f>
        <v>16.1445833456877</v>
      </c>
      <c r="C35" s="6" t="s">
        <v>469</v>
      </c>
      <c r="D35" s="6" t="s">
        <v>470</v>
      </c>
      <c r="G35" s="6" t="s">
        <v>518</v>
      </c>
    </row>
    <row r="36" customFormat="false" ht="14.25" hidden="false" customHeight="true" outlineLevel="0" collapsed="false">
      <c r="A36" s="6" t="s">
        <v>519</v>
      </c>
      <c r="B36" s="28" t="n">
        <f aca="false">B30/(1+B20)^0.5*B32</f>
        <v>2151.53265027702</v>
      </c>
      <c r="C36" s="6" t="s">
        <v>479</v>
      </c>
      <c r="D36" s="6" t="s">
        <v>470</v>
      </c>
      <c r="G36" s="6" t="s">
        <v>520</v>
      </c>
    </row>
    <row r="37" customFormat="false" ht="14.25" hidden="false" customHeight="true" outlineLevel="0" collapsed="false">
      <c r="A37" s="6" t="s">
        <v>521</v>
      </c>
      <c r="B37" s="28" t="n">
        <f aca="false">B36-B22</f>
        <v>1901.53265027702</v>
      </c>
      <c r="C37" s="6" t="s">
        <v>479</v>
      </c>
      <c r="D37" s="6" t="s">
        <v>470</v>
      </c>
      <c r="G37" s="6"/>
    </row>
    <row r="38" customFormat="false" ht="14.25" hidden="false" customHeight="true" outlineLevel="0" collapsed="false">
      <c r="A38" s="6" t="s">
        <v>522</v>
      </c>
      <c r="B38" s="43" t="n">
        <f aca="false">1/(1-B18)</f>
        <v>3.33333333333333</v>
      </c>
      <c r="C38" s="6" t="s">
        <v>497</v>
      </c>
      <c r="D38" s="6" t="s">
        <v>470</v>
      </c>
      <c r="G38" s="6" t="s">
        <v>523</v>
      </c>
    </row>
    <row r="39" customFormat="false" ht="14.25" hidden="false" customHeight="true" outlineLevel="0" collapsed="false">
      <c r="A39" s="6" t="s">
        <v>524</v>
      </c>
      <c r="B39" s="28" t="n">
        <f aca="false">B33*B7/10</f>
        <v>10978.3166750676</v>
      </c>
      <c r="C39" s="6" t="s">
        <v>476</v>
      </c>
      <c r="D39" s="6" t="s">
        <v>470</v>
      </c>
      <c r="G39" s="6" t="s">
        <v>525</v>
      </c>
    </row>
    <row r="40" customFormat="false" ht="14.25" hidden="false" customHeight="true" outlineLevel="0" collapsed="false">
      <c r="A40" s="6" t="s">
        <v>526</v>
      </c>
      <c r="B40" s="15" t="n">
        <f aca="false">Valuation!G64</f>
        <v>87768.9876214364</v>
      </c>
      <c r="C40" s="6" t="s">
        <v>476</v>
      </c>
      <c r="D40" s="6" t="s">
        <v>470</v>
      </c>
      <c r="G40" s="6"/>
    </row>
    <row r="41" customFormat="false" ht="14.25" hidden="false" customHeight="true" outlineLevel="0" collapsed="false">
      <c r="A41" s="6" t="s">
        <v>527</v>
      </c>
      <c r="B41" s="49" t="n">
        <f aca="false">B40/B39</f>
        <v>7.99475823290511</v>
      </c>
      <c r="C41" s="6" t="s">
        <v>469</v>
      </c>
      <c r="D41" s="6" t="s">
        <v>470</v>
      </c>
      <c r="G41" s="6" t="s">
        <v>528</v>
      </c>
    </row>
    <row r="43" customFormat="false" ht="14.25" hidden="false" customHeight="true" outlineLevel="0" collapsed="false">
      <c r="A43" s="5" t="s">
        <v>529</v>
      </c>
    </row>
    <row r="44" customFormat="false" ht="14.25" hidden="false" customHeight="true" outlineLevel="0" collapsed="false">
      <c r="B44" s="63" t="n">
        <v>3</v>
      </c>
      <c r="C44" s="63" t="n">
        <v>3.2</v>
      </c>
      <c r="D44" s="63" t="n">
        <v>3.4</v>
      </c>
      <c r="E44" s="63" t="n">
        <v>3.6</v>
      </c>
      <c r="F44" s="63" t="n">
        <v>3.8</v>
      </c>
    </row>
    <row r="45" customFormat="false" ht="14.25" hidden="false" customHeight="true" outlineLevel="0" collapsed="false">
      <c r="A45" s="59" t="n">
        <v>0.6</v>
      </c>
      <c r="B45" s="28" t="n">
        <f aca="false">B$44*12*$B$27/(1+$B$20)^0.5*IF($A45*(1+$B$19)/(1+$B$20)=1,$B$21,(1-($A45*(1+$B$19)/(1+$B$20))^$B$21)/(1-$A45*(1+$B$19)/(1+$B$20)))</f>
        <v>2912.39508807326</v>
      </c>
      <c r="C45" s="28" t="n">
        <f aca="false">C$44*12*$B$27/(1+$B$20)^0.5*IF($A45*(1+$B$19)/(1+$B$20)=1,$B$21,(1-($A45*(1+$B$19)/(1+$B$20))^$B$21)/(1-$A45*(1+$B$19)/(1+$B$20)))</f>
        <v>3106.55476061148</v>
      </c>
      <c r="D45" s="28" t="n">
        <f aca="false">D$44*12*$B$27/(1+$B$20)^0.5*IF($A45*(1+$B$19)/(1+$B$20)=1,$B$21,(1-($A45*(1+$B$19)/(1+$B$20))^$B$21)/(1-$A45*(1+$B$19)/(1+$B$20)))</f>
        <v>3300.7144331497</v>
      </c>
      <c r="E45" s="28" t="n">
        <f aca="false">E$44*12*$B$27/(1+$B$20)^0.5*IF($A45*(1+$B$19)/(1+$B$20)=1,$B$21,(1-($A45*(1+$B$19)/(1+$B$20))^$B$21)/(1-$A45*(1+$B$19)/(1+$B$20)))</f>
        <v>3494.87410568791</v>
      </c>
      <c r="F45" s="28" t="n">
        <f aca="false">F$44*12*$B$27/(1+$B$20)^0.5*IF($A45*(1+$B$19)/(1+$B$20)=1,$B$21,(1-($A45*(1+$B$19)/(1+$B$20))^$B$21)/(1-$A45*(1+$B$19)/(1+$B$20)))</f>
        <v>3689.03377822613</v>
      </c>
    </row>
    <row r="46" customFormat="false" ht="14.25" hidden="false" customHeight="true" outlineLevel="0" collapsed="false">
      <c r="A46" s="59" t="n">
        <v>0.65</v>
      </c>
      <c r="B46" s="28" t="n">
        <f aca="false">B$44*12*$B$27/(1+$B$20)^0.5*IF($A46*(1+$B$19)/(1+$B$20)=1,$B$21,(1-($A46*(1+$B$19)/(1+$B$20))^$B$21)/(1-$A46*(1+$B$19)/(1+$B$20)))</f>
        <v>3210.9797315955</v>
      </c>
      <c r="C46" s="28" t="n">
        <f aca="false">C$44*12*$B$27/(1+$B$20)^0.5*IF($A46*(1+$B$19)/(1+$B$20)=1,$B$21,(1-($A46*(1+$B$19)/(1+$B$20))^$B$21)/(1-$A46*(1+$B$19)/(1+$B$20)))</f>
        <v>3425.0450470352</v>
      </c>
      <c r="D46" s="28" t="n">
        <f aca="false">D$44*12*$B$27/(1+$B$20)^0.5*IF($A46*(1+$B$19)/(1+$B$20)=1,$B$21,(1-($A46*(1+$B$19)/(1+$B$20))^$B$21)/(1-$A46*(1+$B$19)/(1+$B$20)))</f>
        <v>3639.1103624749</v>
      </c>
      <c r="E46" s="28" t="n">
        <f aca="false">E$44*12*$B$27/(1+$B$20)^0.5*IF($A46*(1+$B$19)/(1+$B$20)=1,$B$21,(1-($A46*(1+$B$19)/(1+$B$20))^$B$21)/(1-$A46*(1+$B$19)/(1+$B$20)))</f>
        <v>3853.1756779146</v>
      </c>
      <c r="F46" s="28" t="n">
        <f aca="false">F$44*12*$B$27/(1+$B$20)^0.5*IF($A46*(1+$B$19)/(1+$B$20)=1,$B$21,(1-($A46*(1+$B$19)/(1+$B$20))^$B$21)/(1-$A46*(1+$B$19)/(1+$B$20)))</f>
        <v>4067.2409933543</v>
      </c>
    </row>
    <row r="47" customFormat="false" ht="14.25" hidden="false" customHeight="true" outlineLevel="0" collapsed="false">
      <c r="A47" s="59" t="n">
        <v>0.7</v>
      </c>
      <c r="B47" s="28" t="n">
        <f aca="false">B$44*12*$B$27/(1+$B$20)^0.5*IF($A47*(1+$B$19)/(1+$B$20)=1,$B$21,(1-($A47*(1+$B$19)/(1+$B$20))^$B$21)/(1-$A47*(1+$B$19)/(1+$B$20)))</f>
        <v>3561.30514978405</v>
      </c>
      <c r="C47" s="28" t="n">
        <f aca="false">C$44*12*$B$27/(1+$B$20)^0.5*IF($A47*(1+$B$19)/(1+$B$20)=1,$B$21,(1-($A47*(1+$B$19)/(1+$B$20))^$B$21)/(1-$A47*(1+$B$19)/(1+$B$20)))</f>
        <v>3798.72549310299</v>
      </c>
      <c r="D47" s="28" t="n">
        <f aca="false">D$44*12*$B$27/(1+$B$20)^0.5*IF($A47*(1+$B$19)/(1+$B$20)=1,$B$21,(1-($A47*(1+$B$19)/(1+$B$20))^$B$21)/(1-$A47*(1+$B$19)/(1+$B$20)))</f>
        <v>4036.14583642192</v>
      </c>
      <c r="E47" s="28" t="n">
        <f aca="false">E$44*12*$B$27/(1+$B$20)^0.5*IF($A47*(1+$B$19)/(1+$B$20)=1,$B$21,(1-($A47*(1+$B$19)/(1+$B$20))^$B$21)/(1-$A47*(1+$B$19)/(1+$B$20)))</f>
        <v>4273.56617974086</v>
      </c>
      <c r="F47" s="28" t="n">
        <f aca="false">F$44*12*$B$27/(1+$B$20)^0.5*IF($A47*(1+$B$19)/(1+$B$20)=1,$B$21,(1-($A47*(1+$B$19)/(1+$B$20))^$B$21)/(1-$A47*(1+$B$19)/(1+$B$20)))</f>
        <v>4510.9865230598</v>
      </c>
    </row>
    <row r="48" customFormat="false" ht="14.25" hidden="false" customHeight="true" outlineLevel="0" collapsed="false">
      <c r="A48" s="59" t="n">
        <v>0.75</v>
      </c>
      <c r="B48" s="28" t="n">
        <f aca="false">B$44*12*$B$27/(1+$B$20)^0.5*IF($A48*(1+$B$19)/(1+$B$20)=1,$B$21,(1-($A48*(1+$B$19)/(1+$B$20))^$B$21)/(1-$A48*(1+$B$19)/(1+$B$20)))</f>
        <v>3973.0523621254</v>
      </c>
      <c r="C48" s="28" t="n">
        <f aca="false">C$44*12*$B$27/(1+$B$20)^0.5*IF($A48*(1+$B$19)/(1+$B$20)=1,$B$21,(1-($A48*(1+$B$19)/(1+$B$20))^$B$21)/(1-$A48*(1+$B$19)/(1+$B$20)))</f>
        <v>4237.92251960043</v>
      </c>
      <c r="D48" s="28" t="n">
        <f aca="false">D$44*12*$B$27/(1+$B$20)^0.5*IF($A48*(1+$B$19)/(1+$B$20)=1,$B$21,(1-($A48*(1+$B$19)/(1+$B$20))^$B$21)/(1-$A48*(1+$B$19)/(1+$B$20)))</f>
        <v>4502.79267707545</v>
      </c>
      <c r="E48" s="28" t="n">
        <f aca="false">E$44*12*$B$27/(1+$B$20)^0.5*IF($A48*(1+$B$19)/(1+$B$20)=1,$B$21,(1-($A48*(1+$B$19)/(1+$B$20))^$B$21)/(1-$A48*(1+$B$19)/(1+$B$20)))</f>
        <v>4767.66283455048</v>
      </c>
      <c r="F48" s="28" t="n">
        <f aca="false">F$44*12*$B$27/(1+$B$20)^0.5*IF($A48*(1+$B$19)/(1+$B$20)=1,$B$21,(1-($A48*(1+$B$19)/(1+$B$20))^$B$21)/(1-$A48*(1+$B$19)/(1+$B$20)))</f>
        <v>5032.5329920255</v>
      </c>
    </row>
    <row r="49" customFormat="false" ht="14.25" hidden="false" customHeight="true" outlineLevel="0" collapsed="false">
      <c r="A49" s="59" t="n">
        <v>0.8</v>
      </c>
      <c r="B49" s="28" t="n">
        <f aca="false">B$44*12*$B$27/(1+$B$20)^0.5*IF($A49*(1+$B$19)/(1+$B$20)=1,$B$21,(1-($A49*(1+$B$19)/(1+$B$20))^$B$21)/(1-$A49*(1+$B$19)/(1+$B$20)))</f>
        <v>4457.43934615912</v>
      </c>
      <c r="C49" s="28" t="n">
        <f aca="false">C$44*12*$B$27/(1+$B$20)^0.5*IF($A49*(1+$B$19)/(1+$B$20)=1,$B$21,(1-($A49*(1+$B$19)/(1+$B$20))^$B$21)/(1-$A49*(1+$B$19)/(1+$B$20)))</f>
        <v>4754.6019692364</v>
      </c>
      <c r="D49" s="28" t="n">
        <f aca="false">D$44*12*$B$27/(1+$B$20)^0.5*IF($A49*(1+$B$19)/(1+$B$20)=1,$B$21,(1-($A49*(1+$B$19)/(1+$B$20))^$B$21)/(1-$A49*(1+$B$19)/(1+$B$20)))</f>
        <v>5051.76459231367</v>
      </c>
      <c r="E49" s="28" t="n">
        <f aca="false">E$44*12*$B$27/(1+$B$20)^0.5*IF($A49*(1+$B$19)/(1+$B$20)=1,$B$21,(1-($A49*(1+$B$19)/(1+$B$20))^$B$21)/(1-$A49*(1+$B$19)/(1+$B$20)))</f>
        <v>5348.92721539095</v>
      </c>
      <c r="F49" s="28" t="n">
        <f aca="false">F$44*12*$B$27/(1+$B$20)^0.5*IF($A49*(1+$B$19)/(1+$B$20)=1,$B$21,(1-($A49*(1+$B$19)/(1+$B$20))^$B$21)/(1-$A49*(1+$B$19)/(1+$B$20)))</f>
        <v>5646.08983846822</v>
      </c>
    </row>
    <row r="51" customFormat="false" ht="14.25" hidden="false" customHeight="true" outlineLevel="0" collapsed="false">
      <c r="A51" s="5" t="s">
        <v>530</v>
      </c>
    </row>
    <row r="52" customFormat="false" ht="14.25" hidden="false" customHeight="true" outlineLevel="0" collapsed="false">
      <c r="B52" s="64" t="n">
        <v>150</v>
      </c>
      <c r="C52" s="64" t="n">
        <v>200</v>
      </c>
      <c r="D52" s="64" t="n">
        <v>250</v>
      </c>
      <c r="E52" s="64" t="n">
        <v>350</v>
      </c>
      <c r="F52" s="64" t="n">
        <v>450</v>
      </c>
    </row>
    <row r="53" customFormat="false" ht="14.25" hidden="false" customHeight="true" outlineLevel="0" collapsed="false">
      <c r="A53" s="59" t="n">
        <v>0.6</v>
      </c>
      <c r="B53" s="49" t="n">
        <f aca="false">$B$25*$B$27/(1+$B$20)^0.5*IF($A53*(1+$B$19)/(1+$B$20)=1,$B$21,(1-($A53*(1+$B$19)/(1+$B$20))^$B$21)/(1-$A53*(1+$B$19)/(1+$B$20)))/B$52</f>
        <v>22.0047628876646</v>
      </c>
      <c r="C53" s="49" t="n">
        <f aca="false">$B$25*$B$27/(1+$B$20)^0.5*IF($A53*(1+$B$19)/(1+$B$20)=1,$B$21,(1-($A53*(1+$B$19)/(1+$B$20))^$B$21)/(1-$A53*(1+$B$19)/(1+$B$20)))/C$52</f>
        <v>16.5035721657485</v>
      </c>
      <c r="D53" s="49" t="n">
        <f aca="false">$B$25*$B$27/(1+$B$20)^0.5*IF($A53*(1+$B$19)/(1+$B$20)=1,$B$21,(1-($A53*(1+$B$19)/(1+$B$20))^$B$21)/(1-$A53*(1+$B$19)/(1+$B$20)))/D$52</f>
        <v>13.2028577325988</v>
      </c>
      <c r="E53" s="49" t="n">
        <f aca="false">$B$25*$B$27/(1+$B$20)^0.5*IF($A53*(1+$B$19)/(1+$B$20)=1,$B$21,(1-($A53*(1+$B$19)/(1+$B$20))^$B$21)/(1-$A53*(1+$B$19)/(1+$B$20)))/E$52</f>
        <v>9.43061266614199</v>
      </c>
      <c r="F53" s="49" t="n">
        <f aca="false">$B$25*$B$27/(1+$B$20)^0.5*IF($A53*(1+$B$19)/(1+$B$20)=1,$B$21,(1-($A53*(1+$B$19)/(1+$B$20))^$B$21)/(1-$A53*(1+$B$19)/(1+$B$20)))/F$52</f>
        <v>7.33492096255488</v>
      </c>
    </row>
    <row r="54" customFormat="false" ht="14.25" hidden="false" customHeight="true" outlineLevel="0" collapsed="false">
      <c r="A54" s="59" t="n">
        <v>0.65</v>
      </c>
      <c r="B54" s="49" t="n">
        <f aca="false">$B$25*$B$27/(1+$B$20)^0.5*IF($A54*(1+$B$19)/(1+$B$20)=1,$B$21,(1-($A54*(1+$B$19)/(1+$B$20))^$B$21)/(1-$A54*(1+$B$19)/(1+$B$20)))/B$52</f>
        <v>24.2607357498327</v>
      </c>
      <c r="C54" s="49" t="n">
        <f aca="false">$B$25*$B$27/(1+$B$20)^0.5*IF($A54*(1+$B$19)/(1+$B$20)=1,$B$21,(1-($A54*(1+$B$19)/(1+$B$20))^$B$21)/(1-$A54*(1+$B$19)/(1+$B$20)))/C$52</f>
        <v>18.1955518123745</v>
      </c>
      <c r="D54" s="49" t="n">
        <f aca="false">$B$25*$B$27/(1+$B$20)^0.5*IF($A54*(1+$B$19)/(1+$B$20)=1,$B$21,(1-($A54*(1+$B$19)/(1+$B$20))^$B$21)/(1-$A54*(1+$B$19)/(1+$B$20)))/D$52</f>
        <v>14.5564414498996</v>
      </c>
      <c r="E54" s="49" t="n">
        <f aca="false">$B$25*$B$27/(1+$B$20)^0.5*IF($A54*(1+$B$19)/(1+$B$20)=1,$B$21,(1-($A54*(1+$B$19)/(1+$B$20))^$B$21)/(1-$A54*(1+$B$19)/(1+$B$20)))/E$52</f>
        <v>10.3974581784997</v>
      </c>
      <c r="F54" s="49" t="n">
        <f aca="false">$B$25*$B$27/(1+$B$20)^0.5*IF($A54*(1+$B$19)/(1+$B$20)=1,$B$21,(1-($A54*(1+$B$19)/(1+$B$20))^$B$21)/(1-$A54*(1+$B$19)/(1+$B$20)))/F$52</f>
        <v>8.08691191661089</v>
      </c>
    </row>
    <row r="55" customFormat="false" ht="14.25" hidden="false" customHeight="true" outlineLevel="0" collapsed="false">
      <c r="A55" s="59" t="n">
        <v>0.7</v>
      </c>
      <c r="B55" s="49" t="n">
        <f aca="false">$B$25*$B$27/(1+$B$20)^0.5*IF($A55*(1+$B$19)/(1+$B$20)=1,$B$21,(1-($A55*(1+$B$19)/(1+$B$20))^$B$21)/(1-$A55*(1+$B$19)/(1+$B$20)))/B$52</f>
        <v>26.9076389094795</v>
      </c>
      <c r="C55" s="49" t="n">
        <f aca="false">$B$25*$B$27/(1+$B$20)^0.5*IF($A55*(1+$B$19)/(1+$B$20)=1,$B$21,(1-($A55*(1+$B$19)/(1+$B$20))^$B$21)/(1-$A55*(1+$B$19)/(1+$B$20)))/C$52</f>
        <v>20.1807291821096</v>
      </c>
      <c r="D55" s="49" t="n">
        <f aca="false">$B$25*$B$27/(1+$B$20)^0.5*IF($A55*(1+$B$19)/(1+$B$20)=1,$B$21,(1-($A55*(1+$B$19)/(1+$B$20))^$B$21)/(1-$A55*(1+$B$19)/(1+$B$20)))/D$52</f>
        <v>16.1445833456877</v>
      </c>
      <c r="E55" s="49" t="n">
        <f aca="false">$B$25*$B$27/(1+$B$20)^0.5*IF($A55*(1+$B$19)/(1+$B$20)=1,$B$21,(1-($A55*(1+$B$19)/(1+$B$20))^$B$21)/(1-$A55*(1+$B$19)/(1+$B$20)))/E$52</f>
        <v>11.5318452469198</v>
      </c>
      <c r="F55" s="49" t="n">
        <f aca="false">$B$25*$B$27/(1+$B$20)^0.5*IF($A55*(1+$B$19)/(1+$B$20)=1,$B$21,(1-($A55*(1+$B$19)/(1+$B$20))^$B$21)/(1-$A55*(1+$B$19)/(1+$B$20)))/F$52</f>
        <v>8.9692129698265</v>
      </c>
    </row>
    <row r="56" customFormat="false" ht="14.25" hidden="false" customHeight="true" outlineLevel="0" collapsed="false">
      <c r="A56" s="59" t="n">
        <v>0.75</v>
      </c>
      <c r="B56" s="49" t="n">
        <f aca="false">$B$25*$B$27/(1+$B$20)^0.5*IF($A56*(1+$B$19)/(1+$B$20)=1,$B$21,(1-($A56*(1+$B$19)/(1+$B$20))^$B$21)/(1-$A56*(1+$B$19)/(1+$B$20)))/B$52</f>
        <v>30.0186178471697</v>
      </c>
      <c r="C56" s="49" t="n">
        <f aca="false">$B$25*$B$27/(1+$B$20)^0.5*IF($A56*(1+$B$19)/(1+$B$20)=1,$B$21,(1-($A56*(1+$B$19)/(1+$B$20))^$B$21)/(1-$A56*(1+$B$19)/(1+$B$20)))/C$52</f>
        <v>22.5139633853773</v>
      </c>
      <c r="D56" s="49" t="n">
        <f aca="false">$B$25*$B$27/(1+$B$20)^0.5*IF($A56*(1+$B$19)/(1+$B$20)=1,$B$21,(1-($A56*(1+$B$19)/(1+$B$20))^$B$21)/(1-$A56*(1+$B$19)/(1+$B$20)))/D$52</f>
        <v>18.0111707083018</v>
      </c>
      <c r="E56" s="49" t="n">
        <f aca="false">$B$25*$B$27/(1+$B$20)^0.5*IF($A56*(1+$B$19)/(1+$B$20)=1,$B$21,(1-($A56*(1+$B$19)/(1+$B$20))^$B$21)/(1-$A56*(1+$B$19)/(1+$B$20)))/E$52</f>
        <v>12.8651219345013</v>
      </c>
      <c r="F56" s="49" t="n">
        <f aca="false">$B$25*$B$27/(1+$B$20)^0.5*IF($A56*(1+$B$19)/(1+$B$20)=1,$B$21,(1-($A56*(1+$B$19)/(1+$B$20))^$B$21)/(1-$A56*(1+$B$19)/(1+$B$20)))/F$52</f>
        <v>10.0062059490566</v>
      </c>
    </row>
    <row r="57" customFormat="false" ht="14.25" hidden="false" customHeight="true" outlineLevel="0" collapsed="false">
      <c r="A57" s="59" t="n">
        <v>0.8</v>
      </c>
      <c r="B57" s="49" t="n">
        <f aca="false">$B$25*$B$27/(1+$B$20)^0.5*IF($A57*(1+$B$19)/(1+$B$20)=1,$B$21,(1-($A57*(1+$B$19)/(1+$B$20))^$B$21)/(1-$A57*(1+$B$19)/(1+$B$20)))/B$52</f>
        <v>33.6784306154245</v>
      </c>
      <c r="C57" s="49" t="n">
        <f aca="false">$B$25*$B$27/(1+$B$20)^0.5*IF($A57*(1+$B$19)/(1+$B$20)=1,$B$21,(1-($A57*(1+$B$19)/(1+$B$20))^$B$21)/(1-$A57*(1+$B$19)/(1+$B$20)))/C$52</f>
        <v>25.2588229615684</v>
      </c>
      <c r="D57" s="49" t="n">
        <f aca="false">$B$25*$B$27/(1+$B$20)^0.5*IF($A57*(1+$B$19)/(1+$B$20)=1,$B$21,(1-($A57*(1+$B$19)/(1+$B$20))^$B$21)/(1-$A57*(1+$B$19)/(1+$B$20)))/D$52</f>
        <v>20.2070583692547</v>
      </c>
      <c r="E57" s="49" t="n">
        <f aca="false">$B$25*$B$27/(1+$B$20)^0.5*IF($A57*(1+$B$19)/(1+$B$20)=1,$B$21,(1-($A57*(1+$B$19)/(1+$B$20))^$B$21)/(1-$A57*(1+$B$19)/(1+$B$20)))/E$52</f>
        <v>14.4336131208962</v>
      </c>
      <c r="F57" s="49" t="n">
        <f aca="false">$B$25*$B$27/(1+$B$20)^0.5*IF($A57*(1+$B$19)/(1+$B$20)=1,$B$21,(1-($A57*(1+$B$19)/(1+$B$20))^$B$21)/(1-$A57*(1+$B$19)/(1+$B$20)))/F$52</f>
        <v>11.2261435384748</v>
      </c>
    </row>
    <row r="59" customFormat="false" ht="14.25" hidden="false" customHeight="true" outlineLevel="0" collapsed="false">
      <c r="A59" s="5" t="s">
        <v>531</v>
      </c>
    </row>
    <row r="60" customFormat="false" ht="14.25" hidden="false" customHeight="true" outlineLevel="0" collapsed="false">
      <c r="A60" s="6" t="s">
        <v>532</v>
      </c>
    </row>
    <row r="61" customFormat="false" ht="14.25" hidden="false" customHeight="true" outlineLevel="0" collapsed="false">
      <c r="A61" s="6" t="s">
        <v>533</v>
      </c>
    </row>
    <row r="62" customFormat="false" ht="14.25" hidden="false" customHeight="true" outlineLevel="0" collapsed="false">
      <c r="A62" s="9" t="s">
        <v>534</v>
      </c>
      <c r="B62" s="9"/>
      <c r="C62" s="9"/>
      <c r="D62" s="9"/>
      <c r="E62" s="9"/>
      <c r="F62" s="9"/>
      <c r="G62" s="9"/>
    </row>
    <row r="63" customFormat="false" ht="14.25" hidden="false" customHeight="true" outlineLevel="0" collapsed="false">
      <c r="A63" s="8" t="s">
        <v>535</v>
      </c>
    </row>
    <row r="64" customFormat="false" ht="14.25" hidden="false" customHeight="true" outlineLevel="0" collapsed="false">
      <c r="A64" s="5" t="s">
        <v>536</v>
      </c>
      <c r="B64" s="5" t="s">
        <v>537</v>
      </c>
      <c r="C64" s="5" t="s">
        <v>122</v>
      </c>
      <c r="D64" s="5" t="s">
        <v>538</v>
      </c>
      <c r="E64" s="5" t="s">
        <v>457</v>
      </c>
      <c r="G64" s="5" t="s">
        <v>458</v>
      </c>
    </row>
    <row r="65" customFormat="false" ht="14.25" hidden="false" customHeight="true" outlineLevel="0" collapsed="false">
      <c r="A65" s="6" t="s">
        <v>539</v>
      </c>
      <c r="B65" s="29" t="n">
        <v>400</v>
      </c>
      <c r="C65" s="29" t="n">
        <v>400</v>
      </c>
      <c r="D65" s="29" t="n">
        <v>400</v>
      </c>
      <c r="E65" s="6" t="s">
        <v>461</v>
      </c>
      <c r="G65" s="6" t="s">
        <v>540</v>
      </c>
    </row>
    <row r="66" customFormat="false" ht="14.25" hidden="false" customHeight="true" outlineLevel="0" collapsed="false">
      <c r="A66" s="6" t="s">
        <v>541</v>
      </c>
      <c r="B66" s="34" t="n">
        <v>0.1</v>
      </c>
      <c r="C66" s="34" t="n">
        <v>0.2</v>
      </c>
      <c r="D66" s="34" t="n">
        <v>0.35</v>
      </c>
      <c r="E66" s="6" t="s">
        <v>473</v>
      </c>
      <c r="G66" s="6" t="s">
        <v>542</v>
      </c>
    </row>
    <row r="67" customFormat="false" ht="14.25" hidden="false" customHeight="true" outlineLevel="0" collapsed="false">
      <c r="A67" s="6" t="s">
        <v>543</v>
      </c>
      <c r="B67" s="37" t="n">
        <v>3000</v>
      </c>
      <c r="C67" s="37" t="n">
        <v>6000</v>
      </c>
      <c r="D67" s="37" t="n">
        <v>10000</v>
      </c>
      <c r="E67" s="6" t="s">
        <v>473</v>
      </c>
      <c r="G67" s="6" t="s">
        <v>544</v>
      </c>
    </row>
    <row r="68" customFormat="false" ht="14.25" hidden="false" customHeight="true" outlineLevel="0" collapsed="false">
      <c r="A68" s="6" t="s">
        <v>545</v>
      </c>
      <c r="B68" s="34" t="n">
        <v>0.75</v>
      </c>
      <c r="C68" s="34" t="n">
        <v>0.8</v>
      </c>
      <c r="D68" s="34" t="n">
        <v>0.85</v>
      </c>
      <c r="E68" s="6" t="s">
        <v>473</v>
      </c>
      <c r="G68" s="6" t="s">
        <v>546</v>
      </c>
    </row>
    <row r="69" customFormat="false" ht="14.25" hidden="false" customHeight="true" outlineLevel="0" collapsed="false">
      <c r="A69" s="6" t="s">
        <v>547</v>
      </c>
      <c r="B69" s="15" t="n">
        <f aca="false">'Operating Model'!M6</f>
        <v>37993</v>
      </c>
      <c r="C69" s="15" t="n">
        <f aca="false">'Operating Model'!M6</f>
        <v>37993</v>
      </c>
      <c r="D69" s="15" t="n">
        <f aca="false">'Operating Model'!M6</f>
        <v>37993</v>
      </c>
      <c r="E69" s="6" t="s">
        <v>470</v>
      </c>
    </row>
    <row r="70" customFormat="false" ht="14.25" hidden="false" customHeight="true" outlineLevel="0" collapsed="false">
      <c r="A70" s="6" t="s">
        <v>548</v>
      </c>
      <c r="B70" s="15" t="n">
        <f aca="false">'Operating Model'!M12</f>
        <v>11698</v>
      </c>
      <c r="C70" s="15" t="n">
        <f aca="false">'Operating Model'!M12</f>
        <v>11698</v>
      </c>
      <c r="D70" s="15" t="n">
        <f aca="false">'Operating Model'!M12</f>
        <v>11698</v>
      </c>
      <c r="E70" s="6" t="s">
        <v>470</v>
      </c>
    </row>
    <row r="71" customFormat="false" ht="14.25" hidden="false" customHeight="true" outlineLevel="0" collapsed="false">
      <c r="A71" s="6" t="s">
        <v>549</v>
      </c>
      <c r="B71" s="15" t="n">
        <f aca="false">'Operating Model'!M20</f>
        <v>2017</v>
      </c>
      <c r="C71" s="15" t="n">
        <f aca="false">'Operating Model'!M20</f>
        <v>2017</v>
      </c>
      <c r="D71" s="15" t="n">
        <f aca="false">'Operating Model'!M20</f>
        <v>2017</v>
      </c>
      <c r="E71" s="6" t="s">
        <v>470</v>
      </c>
    </row>
    <row r="72" customFormat="false" ht="14.25" hidden="false" customHeight="true" outlineLevel="0" collapsed="false">
      <c r="A72" s="6" t="s">
        <v>550</v>
      </c>
      <c r="B72" s="15" t="n">
        <f aca="false">'Operating Model'!E82</f>
        <v>3121.48394666667</v>
      </c>
      <c r="C72" s="15" t="n">
        <f aca="false">'Operating Model'!E82</f>
        <v>3121.48394666667</v>
      </c>
      <c r="D72" s="15" t="n">
        <f aca="false">'Operating Model'!E82</f>
        <v>3121.48394666667</v>
      </c>
      <c r="E72" s="6" t="s">
        <v>470</v>
      </c>
    </row>
    <row r="73" customFormat="false" ht="14.25" hidden="false" customHeight="true" outlineLevel="0" collapsed="false">
      <c r="A73" s="6" t="s">
        <v>551</v>
      </c>
      <c r="B73" s="65" t="n">
        <f aca="false">Assumptions!$B$73</f>
        <v>35</v>
      </c>
      <c r="C73" s="65" t="n">
        <f aca="false">Assumptions!$B$73</f>
        <v>35</v>
      </c>
      <c r="D73" s="65" t="n">
        <f aca="false">Assumptions!$B$73</f>
        <v>35</v>
      </c>
      <c r="E73" s="6" t="s">
        <v>473</v>
      </c>
    </row>
    <row r="75" customFormat="false" ht="14.25" hidden="false" customHeight="true" outlineLevel="0" collapsed="false">
      <c r="A75" s="5" t="s">
        <v>500</v>
      </c>
    </row>
    <row r="76" customFormat="false" ht="14.25" hidden="false" customHeight="true" outlineLevel="0" collapsed="false">
      <c r="A76" s="6" t="s">
        <v>552</v>
      </c>
      <c r="B76" s="43" t="n">
        <f aca="false">B65*B66</f>
        <v>40</v>
      </c>
      <c r="C76" s="43" t="n">
        <f aca="false">C65*C66</f>
        <v>80</v>
      </c>
      <c r="D76" s="43" t="n">
        <f aca="false">D65*D66</f>
        <v>140</v>
      </c>
      <c r="E76" s="6" t="s">
        <v>470</v>
      </c>
    </row>
    <row r="77" customFormat="false" ht="14.25" hidden="false" customHeight="true" outlineLevel="0" collapsed="false">
      <c r="A77" s="5" t="s">
        <v>553</v>
      </c>
      <c r="B77" s="41" t="n">
        <f aca="false">B65*1000*B66*B67*12/10^7</f>
        <v>144</v>
      </c>
      <c r="C77" s="41" t="n">
        <f aca="false">C65*1000*C66*C67*12/10^7</f>
        <v>576</v>
      </c>
      <c r="D77" s="41" t="n">
        <f aca="false">D65*1000*D66*D67*12/10^7</f>
        <v>1680</v>
      </c>
      <c r="E77" s="6" t="s">
        <v>470</v>
      </c>
    </row>
    <row r="78" customFormat="false" ht="14.25" hidden="false" customHeight="true" outlineLevel="0" collapsed="false">
      <c r="A78" s="6" t="s">
        <v>554</v>
      </c>
      <c r="B78" s="24" t="n">
        <f aca="false">B77/B69</f>
        <v>0.00379017187376622</v>
      </c>
      <c r="C78" s="24" t="n">
        <f aca="false">C77/C69</f>
        <v>0.0151606874950649</v>
      </c>
      <c r="D78" s="24" t="n">
        <f aca="false">D77/D69</f>
        <v>0.0442186718606059</v>
      </c>
      <c r="E78" s="6" t="s">
        <v>470</v>
      </c>
    </row>
    <row r="79" customFormat="false" ht="14.25" hidden="false" customHeight="true" outlineLevel="0" collapsed="false">
      <c r="A79" s="6" t="s">
        <v>555</v>
      </c>
      <c r="B79" s="13" t="n">
        <f aca="false">B77/B70</f>
        <v>0.0123097965464182</v>
      </c>
      <c r="C79" s="13" t="n">
        <f aca="false">C77/C70</f>
        <v>0.0492391861856728</v>
      </c>
      <c r="D79" s="13" t="n">
        <f aca="false">D77/D70</f>
        <v>0.143614293041546</v>
      </c>
      <c r="E79" s="6" t="s">
        <v>470</v>
      </c>
    </row>
    <row r="80" customFormat="false" ht="14.25" hidden="false" customHeight="true" outlineLevel="0" collapsed="false">
      <c r="A80" s="5" t="s">
        <v>556</v>
      </c>
      <c r="B80" s="41" t="n">
        <f aca="false">B77*B68</f>
        <v>108</v>
      </c>
      <c r="C80" s="41" t="n">
        <f aca="false">C77*C68</f>
        <v>460.8</v>
      </c>
      <c r="D80" s="41" t="n">
        <f aca="false">D77*D68</f>
        <v>1428</v>
      </c>
      <c r="E80" s="6" t="s">
        <v>470</v>
      </c>
    </row>
    <row r="81" customFormat="false" ht="14.25" hidden="false" customHeight="true" outlineLevel="0" collapsed="false">
      <c r="A81" s="6" t="s">
        <v>557</v>
      </c>
      <c r="B81" s="13" t="n">
        <f aca="false">B80/B71</f>
        <v>0.0535448686167576</v>
      </c>
      <c r="C81" s="13" t="n">
        <f aca="false">C80/C71</f>
        <v>0.228458106098166</v>
      </c>
      <c r="D81" s="13" t="n">
        <f aca="false">D80/D71</f>
        <v>0.707982151710461</v>
      </c>
      <c r="E81" s="6" t="s">
        <v>470</v>
      </c>
    </row>
    <row r="82" customFormat="false" ht="14.25" hidden="false" customHeight="true" outlineLevel="0" collapsed="false">
      <c r="A82" s="6" t="s">
        <v>558</v>
      </c>
      <c r="B82" s="13" t="n">
        <f aca="false">B80/B72</f>
        <v>0.0345989285369639</v>
      </c>
      <c r="C82" s="13" t="n">
        <f aca="false">C80/C72</f>
        <v>0.147622095091046</v>
      </c>
      <c r="D82" s="13" t="n">
        <f aca="false">D80/D72</f>
        <v>0.457474721766523</v>
      </c>
      <c r="E82" s="6" t="s">
        <v>470</v>
      </c>
    </row>
    <row r="83" customFormat="false" ht="14.25" hidden="false" customHeight="true" outlineLevel="0" collapsed="false">
      <c r="A83" s="6" t="s">
        <v>559</v>
      </c>
      <c r="B83" s="49" t="n">
        <f aca="false">B68/(B71/B70)</f>
        <v>4.34977689638076</v>
      </c>
      <c r="C83" s="49" t="n">
        <f aca="false">C68/(C71/C70)</f>
        <v>4.63976202280615</v>
      </c>
      <c r="D83" s="49" t="n">
        <f aca="false">D68/(D71/D70)</f>
        <v>4.92974714923153</v>
      </c>
      <c r="E83" s="6" t="s">
        <v>470</v>
      </c>
      <c r="G83" s="6" t="s">
        <v>560</v>
      </c>
    </row>
    <row r="84" customFormat="false" ht="14.25" hidden="false" customHeight="true" outlineLevel="0" collapsed="false">
      <c r="A84" s="6" t="s">
        <v>561</v>
      </c>
      <c r="B84" s="28" t="n">
        <f aca="false">B80*B73</f>
        <v>3780</v>
      </c>
      <c r="C84" s="28" t="n">
        <f aca="false">C80*C73</f>
        <v>16128</v>
      </c>
      <c r="D84" s="28" t="n">
        <f aca="false">D80*D73</f>
        <v>49980</v>
      </c>
      <c r="E84" s="6" t="s">
        <v>470</v>
      </c>
    </row>
    <row r="85" customFormat="false" ht="14.25" hidden="false" customHeight="true" outlineLevel="0" collapsed="false">
      <c r="A85" s="5" t="s">
        <v>562</v>
      </c>
      <c r="B85" s="48" t="n">
        <f aca="false">B84/Assumptions!$B$20</f>
        <v>3.9100077579519</v>
      </c>
      <c r="C85" s="48" t="n">
        <f aca="false">C84/Assumptions!$B$20</f>
        <v>16.6826997672614</v>
      </c>
      <c r="D85" s="48" t="n">
        <f aca="false">D84/Assumptions!$B$20</f>
        <v>51.6989914662529</v>
      </c>
      <c r="E85" s="6" t="s">
        <v>470</v>
      </c>
    </row>
    <row r="86" customFormat="false" ht="14.25" hidden="false" customHeight="true" outlineLevel="0" collapsed="false">
      <c r="A86" s="6" t="s">
        <v>563</v>
      </c>
      <c r="B86" s="13" t="n">
        <f aca="false">B84/Valuation!$G$64</f>
        <v>0.0430676039731007</v>
      </c>
      <c r="C86" s="13" t="n">
        <f aca="false">C84/Valuation!$G$64</f>
        <v>0.18375511028523</v>
      </c>
      <c r="D86" s="13" t="n">
        <f aca="false">D84/Valuation!$G$64</f>
        <v>0.569449430310998</v>
      </c>
      <c r="E86" s="6" t="s">
        <v>470</v>
      </c>
    </row>
    <row r="87" customFormat="false" ht="14.25" hidden="false" customHeight="true" outlineLevel="0" collapsed="false">
      <c r="A87" s="5" t="s">
        <v>564</v>
      </c>
      <c r="B87" s="5" t="str">
        <f aca="false">IF(B81&gt;=0.25,"Meaningful",IF(B81&gt;=0.1,"Material","Minor"))</f>
        <v>Minor</v>
      </c>
      <c r="C87" s="5" t="str">
        <f aca="false">IF(C81&gt;=0.25,"Meaningful",IF(C81&gt;=0.1,"Material","Minor"))</f>
        <v>Material</v>
      </c>
      <c r="D87" s="5" t="str">
        <f aca="false">IF(D81&gt;=0.25,"Meaningful",IF(D81&gt;=0.1,"Material","Minor"))</f>
        <v>Meaningful</v>
      </c>
      <c r="E87" s="6" t="s">
        <v>470</v>
      </c>
    </row>
    <row r="89" customFormat="false" ht="14.25" hidden="false" customHeight="true" outlineLevel="0" collapsed="false">
      <c r="A89" s="5" t="s">
        <v>565</v>
      </c>
    </row>
    <row r="90" customFormat="false" ht="14.25" hidden="false" customHeight="true" outlineLevel="0" collapsed="false">
      <c r="A90" s="6" t="s">
        <v>566</v>
      </c>
      <c r="B90" s="28" t="n">
        <f aca="false">0.25*C71/C68</f>
        <v>630.3125</v>
      </c>
    </row>
    <row r="91" customFormat="false" ht="14.25" hidden="false" customHeight="true" outlineLevel="0" collapsed="false">
      <c r="A91" s="6" t="s">
        <v>567</v>
      </c>
      <c r="B91" s="13" t="n">
        <f aca="false">B90*10^7/(C65*1000*C67*12)</f>
        <v>0.218858506944444</v>
      </c>
    </row>
    <row r="92" customFormat="false" ht="14.25" hidden="false" customHeight="true" outlineLevel="0" collapsed="false">
      <c r="A92" s="6" t="s">
        <v>568</v>
      </c>
      <c r="B92" s="24" t="n">
        <f aca="false">B90/C69</f>
        <v>0.016590227147106</v>
      </c>
      <c r="G92" s="6" t="s">
        <v>569</v>
      </c>
    </row>
    <row r="94" customFormat="false" ht="14.25" hidden="false" customHeight="true" outlineLevel="0" collapsed="false">
      <c r="A94" s="5" t="s">
        <v>570</v>
      </c>
    </row>
    <row r="95" customFormat="false" ht="14.25" hidden="false" customHeight="true" outlineLevel="0" collapsed="false">
      <c r="B95" s="64" t="n">
        <v>3000</v>
      </c>
      <c r="C95" s="64" t="n">
        <v>5000</v>
      </c>
      <c r="D95" s="64" t="n">
        <v>7500</v>
      </c>
      <c r="E95" s="64" t="n">
        <v>10000</v>
      </c>
      <c r="F95" s="64" t="n">
        <v>15000</v>
      </c>
    </row>
    <row r="96" customFormat="false" ht="14.25" hidden="false" customHeight="true" outlineLevel="0" collapsed="false">
      <c r="A96" s="59" t="n">
        <v>0.1</v>
      </c>
      <c r="B96" s="28" t="n">
        <f aca="false">$C$65*1000*$A96*B$95*12/10^7*$C$68</f>
        <v>115.2</v>
      </c>
      <c r="C96" s="28" t="n">
        <f aca="false">$C$65*1000*$A96*C$95*12/10^7*$C$68</f>
        <v>192</v>
      </c>
      <c r="D96" s="28" t="n">
        <f aca="false">$C$65*1000*$A96*D$95*12/10^7*$C$68</f>
        <v>288</v>
      </c>
      <c r="E96" s="28" t="n">
        <f aca="false">$C$65*1000*$A96*E$95*12/10^7*$C$68</f>
        <v>384</v>
      </c>
      <c r="F96" s="28" t="n">
        <f aca="false">$C$65*1000*$A96*F$95*12/10^7*$C$68</f>
        <v>576</v>
      </c>
    </row>
    <row r="97" customFormat="false" ht="14.25" hidden="false" customHeight="true" outlineLevel="0" collapsed="false">
      <c r="A97" s="59" t="n">
        <v>0.2</v>
      </c>
      <c r="B97" s="28" t="n">
        <f aca="false">$C$65*1000*$A97*B$95*12/10^7*$C$68</f>
        <v>230.4</v>
      </c>
      <c r="C97" s="28" t="n">
        <f aca="false">$C$65*1000*$A97*C$95*12/10^7*$C$68</f>
        <v>384</v>
      </c>
      <c r="D97" s="28" t="n">
        <f aca="false">$C$65*1000*$A97*D$95*12/10^7*$C$68</f>
        <v>576</v>
      </c>
      <c r="E97" s="28" t="n">
        <f aca="false">$C$65*1000*$A97*E$95*12/10^7*$C$68</f>
        <v>768</v>
      </c>
      <c r="F97" s="28" t="n">
        <f aca="false">$C$65*1000*$A97*F$95*12/10^7*$C$68</f>
        <v>1152</v>
      </c>
    </row>
    <row r="98" customFormat="false" ht="14.25" hidden="false" customHeight="true" outlineLevel="0" collapsed="false">
      <c r="A98" s="59" t="n">
        <v>0.3</v>
      </c>
      <c r="B98" s="28" t="n">
        <f aca="false">$C$65*1000*$A98*B$95*12/10^7*$C$68</f>
        <v>345.6</v>
      </c>
      <c r="C98" s="28" t="n">
        <f aca="false">$C$65*1000*$A98*C$95*12/10^7*$C$68</f>
        <v>576</v>
      </c>
      <c r="D98" s="28" t="n">
        <f aca="false">$C$65*1000*$A98*D$95*12/10^7*$C$68</f>
        <v>864</v>
      </c>
      <c r="E98" s="28" t="n">
        <f aca="false">$C$65*1000*$A98*E$95*12/10^7*$C$68</f>
        <v>1152</v>
      </c>
      <c r="F98" s="28" t="n">
        <f aca="false">$C$65*1000*$A98*F$95*12/10^7*$C$68</f>
        <v>1728</v>
      </c>
    </row>
    <row r="99" customFormat="false" ht="14.25" hidden="false" customHeight="true" outlineLevel="0" collapsed="false">
      <c r="A99" s="59" t="n">
        <v>0.4</v>
      </c>
      <c r="B99" s="28" t="n">
        <f aca="false">$C$65*1000*$A99*B$95*12/10^7*$C$68</f>
        <v>460.8</v>
      </c>
      <c r="C99" s="28" t="n">
        <f aca="false">$C$65*1000*$A99*C$95*12/10^7*$C$68</f>
        <v>768</v>
      </c>
      <c r="D99" s="28" t="n">
        <f aca="false">$C$65*1000*$A99*D$95*12/10^7*$C$68</f>
        <v>1152</v>
      </c>
      <c r="E99" s="28" t="n">
        <f aca="false">$C$65*1000*$A99*E$95*12/10^7*$C$68</f>
        <v>1536</v>
      </c>
      <c r="F99" s="28" t="n">
        <f aca="false">$C$65*1000*$A99*F$95*12/10^7*$C$68</f>
        <v>2304</v>
      </c>
    </row>
    <row r="100" customFormat="false" ht="14.25" hidden="false" customHeight="true" outlineLevel="0" collapsed="false">
      <c r="A100" s="59" t="n">
        <v>0.5</v>
      </c>
      <c r="B100" s="28" t="n">
        <f aca="false">$C$65*1000*$A100*B$95*12/10^7*$C$68</f>
        <v>576</v>
      </c>
      <c r="C100" s="28" t="n">
        <f aca="false">$C$65*1000*$A100*C$95*12/10^7*$C$68</f>
        <v>960</v>
      </c>
      <c r="D100" s="28" t="n">
        <f aca="false">$C$65*1000*$A100*D$95*12/10^7*$C$68</f>
        <v>1440</v>
      </c>
      <c r="E100" s="28" t="n">
        <f aca="false">$C$65*1000*$A100*E$95*12/10^7*$C$68</f>
        <v>1920</v>
      </c>
      <c r="F100" s="28" t="n">
        <f aca="false">$C$65*1000*$A100*F$95*12/10^7*$C$68</f>
        <v>2880</v>
      </c>
    </row>
    <row r="102" customFormat="false" ht="14.25" hidden="false" customHeight="true" outlineLevel="0" collapsed="false">
      <c r="A102" s="5" t="s">
        <v>531</v>
      </c>
    </row>
    <row r="103" customFormat="false" ht="14.25" hidden="false" customHeight="true" outlineLevel="0" collapsed="false">
      <c r="A103" s="6" t="s">
        <v>571</v>
      </c>
    </row>
    <row r="104" customFormat="false" ht="14.25" hidden="false" customHeight="true" outlineLevel="0" collapsed="false">
      <c r="A104" s="6" t="s">
        <v>572</v>
      </c>
    </row>
    <row r="105" customFormat="false" ht="14.25" hidden="false" customHeight="true" outlineLevel="0" collapsed="false">
      <c r="A105" s="9" t="s">
        <v>573</v>
      </c>
      <c r="B105" s="9"/>
      <c r="C105" s="9"/>
      <c r="D105" s="9"/>
      <c r="E105" s="9"/>
      <c r="F105" s="9"/>
      <c r="G105" s="9"/>
    </row>
    <row r="106" customFormat="false" ht="14.25" hidden="false" customHeight="true" outlineLevel="0" collapsed="false">
      <c r="A106" s="8" t="s">
        <v>574</v>
      </c>
    </row>
    <row r="107" customFormat="false" ht="14.25" hidden="false" customHeight="true" outlineLevel="0" collapsed="false">
      <c r="A107" s="5" t="s">
        <v>241</v>
      </c>
      <c r="B107" s="5" t="s">
        <v>575</v>
      </c>
      <c r="C107" s="5" t="s">
        <v>576</v>
      </c>
      <c r="D107" s="5" t="s">
        <v>457</v>
      </c>
      <c r="G107" s="5" t="s">
        <v>577</v>
      </c>
    </row>
    <row r="108" customFormat="false" ht="14.25" hidden="false" customHeight="true" outlineLevel="0" collapsed="false">
      <c r="A108" s="33" t="s">
        <v>578</v>
      </c>
    </row>
    <row r="109" customFormat="false" ht="14.25" hidden="false" customHeight="true" outlineLevel="0" collapsed="false">
      <c r="A109" s="6" t="s">
        <v>579</v>
      </c>
      <c r="B109" s="31" t="n">
        <v>27.2</v>
      </c>
      <c r="C109" s="31" t="n">
        <v>19.2</v>
      </c>
      <c r="D109" s="6" t="s">
        <v>461</v>
      </c>
      <c r="G109" s="6" t="s">
        <v>580</v>
      </c>
    </row>
    <row r="110" customFormat="false" ht="14.25" hidden="false" customHeight="true" outlineLevel="0" collapsed="false">
      <c r="A110" s="6" t="s">
        <v>581</v>
      </c>
      <c r="B110" s="31" t="n">
        <v>31.8</v>
      </c>
      <c r="C110" s="31" t="n">
        <v>13.5</v>
      </c>
      <c r="D110" s="6" t="s">
        <v>461</v>
      </c>
      <c r="G110" s="6" t="s">
        <v>582</v>
      </c>
    </row>
    <row r="111" customFormat="false" ht="14.25" hidden="false" customHeight="true" outlineLevel="0" collapsed="false">
      <c r="A111" s="6" t="s">
        <v>583</v>
      </c>
      <c r="B111" s="31" t="n">
        <v>331</v>
      </c>
      <c r="C111" s="31" t="n">
        <v>114.5</v>
      </c>
      <c r="D111" s="6" t="s">
        <v>461</v>
      </c>
      <c r="G111" s="6" t="s">
        <v>584</v>
      </c>
    </row>
    <row r="112" customFormat="false" ht="14.25" hidden="false" customHeight="true" outlineLevel="0" collapsed="false">
      <c r="A112" s="6" t="s">
        <v>585</v>
      </c>
      <c r="B112" s="29" t="n">
        <v>17132</v>
      </c>
      <c r="C112" s="29" t="n">
        <v>5817</v>
      </c>
      <c r="D112" s="6" t="s">
        <v>461</v>
      </c>
      <c r="G112" s="6" t="s">
        <v>586</v>
      </c>
    </row>
    <row r="113" customFormat="false" ht="14.25" hidden="false" customHeight="true" outlineLevel="0" collapsed="false">
      <c r="A113" s="6" t="s">
        <v>587</v>
      </c>
      <c r="B113" s="29" t="n">
        <v>102</v>
      </c>
      <c r="C113" s="29" t="n">
        <v>-778</v>
      </c>
      <c r="D113" s="6" t="s">
        <v>461</v>
      </c>
      <c r="G113" s="6" t="s">
        <v>588</v>
      </c>
    </row>
    <row r="114" customFormat="false" ht="14.25" hidden="false" customHeight="true" outlineLevel="0" collapsed="false">
      <c r="A114" s="6" t="s">
        <v>589</v>
      </c>
      <c r="B114" s="29" t="n">
        <v>606</v>
      </c>
      <c r="C114" s="29" t="n">
        <v>292</v>
      </c>
      <c r="D114" s="6" t="s">
        <v>461</v>
      </c>
      <c r="G114" s="6" t="s">
        <v>590</v>
      </c>
    </row>
    <row r="115" customFormat="false" ht="14.25" hidden="false" customHeight="true" outlineLevel="0" collapsed="false">
      <c r="A115" s="6" t="s">
        <v>591</v>
      </c>
      <c r="B115" s="29" t="n">
        <v>3100</v>
      </c>
      <c r="C115" s="29" t="n">
        <v>2208</v>
      </c>
      <c r="D115" s="6" t="s">
        <v>461</v>
      </c>
      <c r="G115" s="6" t="s">
        <v>592</v>
      </c>
    </row>
    <row r="116" customFormat="false" ht="14.25" hidden="false" customHeight="true" outlineLevel="0" collapsed="false">
      <c r="A116" s="6" t="s">
        <v>593</v>
      </c>
      <c r="C116" s="31" t="n">
        <v>308</v>
      </c>
      <c r="D116" s="6" t="s">
        <v>461</v>
      </c>
      <c r="G116" s="6" t="s">
        <v>594</v>
      </c>
    </row>
    <row r="117" customFormat="false" ht="14.25" hidden="false" customHeight="true" outlineLevel="0" collapsed="false">
      <c r="A117" s="6" t="s">
        <v>595</v>
      </c>
      <c r="B117" s="66" t="s">
        <v>596</v>
      </c>
      <c r="C117" s="31" t="n">
        <v>27.5</v>
      </c>
      <c r="D117" s="6" t="s">
        <v>461</v>
      </c>
      <c r="G117" s="6" t="s">
        <v>597</v>
      </c>
    </row>
    <row r="118" customFormat="false" ht="14.25" hidden="false" customHeight="true" outlineLevel="0" collapsed="false">
      <c r="A118" s="6" t="s">
        <v>598</v>
      </c>
      <c r="C118" s="46" t="n">
        <v>3.87</v>
      </c>
      <c r="D118" s="6" t="s">
        <v>461</v>
      </c>
      <c r="G118" s="6" t="s">
        <v>599</v>
      </c>
    </row>
    <row r="120" customFormat="false" ht="14.25" hidden="false" customHeight="true" outlineLevel="0" collapsed="false">
      <c r="A120" s="33" t="s">
        <v>600</v>
      </c>
    </row>
    <row r="121" customFormat="false" ht="14.25" hidden="false" customHeight="true" outlineLevel="0" collapsed="false">
      <c r="A121" s="6" t="s">
        <v>601</v>
      </c>
      <c r="B121" s="30" t="n">
        <f aca="false">B111/B110/3</f>
        <v>3.46960167714885</v>
      </c>
      <c r="C121" s="30" t="n">
        <f aca="false">C111/C110/3</f>
        <v>2.82716049382716</v>
      </c>
      <c r="D121" s="6" t="s">
        <v>470</v>
      </c>
      <c r="G121" s="6" t="s">
        <v>602</v>
      </c>
    </row>
    <row r="122" customFormat="false" ht="14.25" hidden="false" customHeight="true" outlineLevel="0" collapsed="false">
      <c r="A122" s="6" t="s">
        <v>603</v>
      </c>
      <c r="B122" s="28" t="n">
        <f aca="false">B112*10/B111</f>
        <v>517.583081570997</v>
      </c>
      <c r="C122" s="28" t="n">
        <f aca="false">C112*10/C111</f>
        <v>508.034934497817</v>
      </c>
      <c r="D122" s="6" t="s">
        <v>470</v>
      </c>
      <c r="G122" s="6" t="s">
        <v>604</v>
      </c>
    </row>
    <row r="123" customFormat="false" ht="14.25" hidden="false" customHeight="true" outlineLevel="0" collapsed="false">
      <c r="A123" s="6" t="s">
        <v>605</v>
      </c>
      <c r="B123" s="28" t="n">
        <f aca="false">B112*10/B110/3</f>
        <v>1795.8071278826</v>
      </c>
      <c r="C123" s="28" t="n">
        <f aca="false">C112*10/C110/3</f>
        <v>1436.2962962963</v>
      </c>
      <c r="D123" s="6" t="s">
        <v>470</v>
      </c>
      <c r="G123" s="6" t="s">
        <v>606</v>
      </c>
    </row>
    <row r="124" customFormat="false" ht="14.25" hidden="false" customHeight="true" outlineLevel="0" collapsed="false">
      <c r="A124" s="6" t="s">
        <v>607</v>
      </c>
      <c r="B124" s="28" t="n">
        <f aca="false">B113*10/B110/3</f>
        <v>10.6918238993711</v>
      </c>
      <c r="C124" s="28" t="n">
        <f aca="false">C113*10/C110/3</f>
        <v>-192.098765432099</v>
      </c>
      <c r="D124" s="6" t="s">
        <v>470</v>
      </c>
      <c r="G124" s="6"/>
    </row>
    <row r="125" customFormat="false" ht="14.25" hidden="false" customHeight="true" outlineLevel="0" collapsed="false">
      <c r="A125" s="6" t="s">
        <v>608</v>
      </c>
      <c r="B125" s="28" t="n">
        <f aca="false">B115*10/B109/3</f>
        <v>379.901960784314</v>
      </c>
      <c r="C125" s="28" t="n">
        <f aca="false">C115*10/C109/3</f>
        <v>383.333333333333</v>
      </c>
      <c r="D125" s="6" t="s">
        <v>470</v>
      </c>
      <c r="G125" s="6" t="s">
        <v>609</v>
      </c>
    </row>
    <row r="126" customFormat="false" ht="14.25" hidden="false" customHeight="true" outlineLevel="0" collapsed="false">
      <c r="A126" s="6" t="s">
        <v>610</v>
      </c>
      <c r="B126" s="28" t="n">
        <f aca="false">B114*10/B109/3</f>
        <v>74.2647058823529</v>
      </c>
      <c r="C126" s="28" t="n">
        <f aca="false">C114*10/C109/3</f>
        <v>50.6944444444445</v>
      </c>
      <c r="D126" s="6" t="s">
        <v>470</v>
      </c>
      <c r="G126" s="6" t="s">
        <v>611</v>
      </c>
    </row>
    <row r="127" customFormat="false" ht="14.25" hidden="false" customHeight="true" outlineLevel="0" collapsed="false">
      <c r="A127" s="6" t="s">
        <v>612</v>
      </c>
      <c r="C127" s="43" t="n">
        <f aca="false">C116-C111</f>
        <v>193.5</v>
      </c>
      <c r="D127" s="6" t="s">
        <v>613</v>
      </c>
      <c r="G127" s="6" t="s">
        <v>614</v>
      </c>
    </row>
    <row r="128" customFormat="false" ht="14.25" hidden="false" customHeight="true" outlineLevel="0" collapsed="false">
      <c r="A128" s="6" t="s">
        <v>615</v>
      </c>
      <c r="C128" s="28" t="n">
        <f aca="false">9490*10/C127</f>
        <v>490.439276485788</v>
      </c>
      <c r="D128" s="6" t="s">
        <v>613</v>
      </c>
      <c r="G128" s="6" t="s">
        <v>616</v>
      </c>
    </row>
    <row r="129" customFormat="false" ht="14.25" hidden="false" customHeight="true" outlineLevel="0" collapsed="false">
      <c r="A129" s="6" t="s">
        <v>617</v>
      </c>
      <c r="B129" s="46" t="n">
        <v>3.4</v>
      </c>
      <c r="C129" s="30" t="n">
        <f aca="false">C127/C109/3</f>
        <v>3.359375</v>
      </c>
      <c r="D129" s="6" t="s">
        <v>618</v>
      </c>
      <c r="G129" s="6" t="s">
        <v>619</v>
      </c>
    </row>
    <row r="131" customFormat="false" ht="14.25" hidden="false" customHeight="true" outlineLevel="0" collapsed="false">
      <c r="A131" s="33" t="s">
        <v>620</v>
      </c>
    </row>
    <row r="132" customFormat="false" ht="14.25" hidden="false" customHeight="true" outlineLevel="0" collapsed="false">
      <c r="A132" s="6" t="s">
        <v>621</v>
      </c>
      <c r="B132" s="50" t="n">
        <f aca="false">B110/B109</f>
        <v>1.16911764705882</v>
      </c>
      <c r="C132" s="50" t="n">
        <f aca="false">C110/C109</f>
        <v>0.703125</v>
      </c>
      <c r="D132" s="6" t="s">
        <v>470</v>
      </c>
      <c r="G132" s="6" t="s">
        <v>622</v>
      </c>
    </row>
    <row r="133" customFormat="false" ht="14.25" hidden="false" customHeight="true" outlineLevel="0" collapsed="false">
      <c r="A133" s="6" t="s">
        <v>623</v>
      </c>
      <c r="B133" s="66" t="s">
        <v>596</v>
      </c>
      <c r="C133" s="43" t="n">
        <f aca="false">C109+C110-C117</f>
        <v>5.2</v>
      </c>
      <c r="D133" s="6" t="s">
        <v>470</v>
      </c>
      <c r="G133" s="6" t="s">
        <v>624</v>
      </c>
    </row>
    <row r="134" customFormat="false" ht="14.25" hidden="false" customHeight="true" outlineLevel="0" collapsed="false">
      <c r="A134" s="6" t="s">
        <v>625</v>
      </c>
      <c r="B134" s="13" t="s">
        <v>596</v>
      </c>
      <c r="C134" s="13" t="n">
        <f aca="false">C133/C110</f>
        <v>0.385185185185185</v>
      </c>
      <c r="D134" s="6" t="s">
        <v>470</v>
      </c>
      <c r="G134" s="6" t="s">
        <v>626</v>
      </c>
    </row>
    <row r="135" customFormat="false" ht="14.25" hidden="false" customHeight="true" outlineLevel="0" collapsed="false">
      <c r="A135" s="6" t="s">
        <v>627</v>
      </c>
      <c r="B135" s="13" t="s">
        <v>596</v>
      </c>
      <c r="C135" s="13" t="n">
        <f aca="false">C133/C109</f>
        <v>0.270833333333334</v>
      </c>
      <c r="D135" s="6" t="s">
        <v>470</v>
      </c>
      <c r="G135" s="6" t="s">
        <v>628</v>
      </c>
    </row>
    <row r="136" customFormat="false" ht="14.25" hidden="false" customHeight="true" outlineLevel="0" collapsed="false">
      <c r="A136" s="6" t="s">
        <v>629</v>
      </c>
      <c r="B136" s="67" t="s">
        <v>596</v>
      </c>
      <c r="C136" s="50" t="n">
        <f aca="false">(C116/C117/3)/C129</f>
        <v>1.11131782945736</v>
      </c>
      <c r="D136" s="6" t="s">
        <v>470</v>
      </c>
      <c r="G136" s="6" t="s">
        <v>630</v>
      </c>
    </row>
    <row r="137" customFormat="false" ht="14.25" hidden="false" customHeight="true" outlineLevel="0" collapsed="false">
      <c r="A137" s="6" t="s">
        <v>631</v>
      </c>
      <c r="B137" s="50" t="n">
        <f aca="false">B126/C126</f>
        <v>1.46494762288477</v>
      </c>
      <c r="D137" s="6" t="s">
        <v>470</v>
      </c>
      <c r="G137" s="6"/>
    </row>
    <row r="138" customFormat="false" ht="14.25" hidden="false" customHeight="true" outlineLevel="0" collapsed="false">
      <c r="A138" s="6" t="s">
        <v>632</v>
      </c>
      <c r="B138" s="50" t="n">
        <f aca="false">B123/C123</f>
        <v>1.25030408594199</v>
      </c>
      <c r="D138" s="6" t="s">
        <v>470</v>
      </c>
      <c r="G138" s="6" t="s">
        <v>633</v>
      </c>
    </row>
    <row r="140" customFormat="false" ht="14.25" hidden="false" customHeight="true" outlineLevel="0" collapsed="false">
      <c r="A140" s="5" t="s">
        <v>634</v>
      </c>
    </row>
    <row r="141" customFormat="false" ht="14.25" hidden="false" customHeight="true" outlineLevel="0" collapsed="false">
      <c r="A141" s="6" t="s">
        <v>635</v>
      </c>
    </row>
    <row r="142" customFormat="false" ht="14.25" hidden="false" customHeight="true" outlineLevel="0" collapsed="false">
      <c r="A142" s="6" t="s">
        <v>636</v>
      </c>
    </row>
    <row r="143" customFormat="false" ht="14.25" hidden="false" customHeight="true" outlineLevel="0" collapsed="false">
      <c r="A143" s="6" t="s">
        <v>637</v>
      </c>
    </row>
    <row r="144" customFormat="false" ht="14.25" hidden="false" customHeight="true" outlineLevel="0" collapsed="false">
      <c r="A144" s="6" t="s">
        <v>638</v>
      </c>
    </row>
    <row r="146" customFormat="false" ht="14.25" hidden="false" customHeight="true" outlineLevel="0" collapsed="false">
      <c r="A146" s="5" t="s">
        <v>531</v>
      </c>
    </row>
    <row r="147" customFormat="false" ht="14.25" hidden="false" customHeight="true" outlineLevel="0" collapsed="false">
      <c r="A147" s="6" t="s">
        <v>639</v>
      </c>
    </row>
    <row r="148" customFormat="false" ht="14.25" hidden="false" customHeight="true" outlineLevel="0" collapsed="false">
      <c r="A148" s="6" t="s">
        <v>640</v>
      </c>
    </row>
    <row r="149" customFormat="false" ht="14.25" hidden="false" customHeight="true" outlineLevel="0" collapsed="false">
      <c r="A149" s="9" t="s">
        <v>641</v>
      </c>
      <c r="B149" s="9"/>
      <c r="C149" s="9"/>
      <c r="D149" s="9"/>
      <c r="E149" s="9"/>
      <c r="F149" s="9"/>
      <c r="G149" s="9"/>
    </row>
    <row r="150" customFormat="false" ht="14.25" hidden="false" customHeight="true" outlineLevel="0" collapsed="false">
      <c r="A150" s="6" t="s">
        <v>642</v>
      </c>
      <c r="B150" s="15" t="n">
        <f aca="false">Assumptions!B21</f>
        <v>306266.4</v>
      </c>
      <c r="G150" s="6" t="s">
        <v>643</v>
      </c>
    </row>
    <row r="151" customFormat="false" ht="14.25" hidden="false" customHeight="true" outlineLevel="0" collapsed="false">
      <c r="A151" s="6" t="s">
        <v>644</v>
      </c>
      <c r="B151" s="15" t="n">
        <f aca="false">-Assumptions!B22</f>
        <v>-18288</v>
      </c>
      <c r="G151" s="6"/>
    </row>
    <row r="152" customFormat="false" ht="14.25" hidden="false" customHeight="true" outlineLevel="0" collapsed="false">
      <c r="A152" s="6" t="s">
        <v>645</v>
      </c>
      <c r="B152" s="15" t="n">
        <f aca="false">Assumptions!B23+Assumptions!B24</f>
        <v>447</v>
      </c>
      <c r="G152" s="6"/>
    </row>
    <row r="153" customFormat="false" ht="14.25" hidden="false" customHeight="true" outlineLevel="0" collapsed="false">
      <c r="A153" s="5" t="s">
        <v>646</v>
      </c>
      <c r="B153" s="41" t="n">
        <f aca="false">B150+B151+B152</f>
        <v>288425.4</v>
      </c>
      <c r="G153" s="6"/>
    </row>
    <row r="154" customFormat="false" ht="14.25" hidden="false" customHeight="true" outlineLevel="0" collapsed="false">
      <c r="A154" s="6" t="s">
        <v>647</v>
      </c>
      <c r="B154" s="15" t="n">
        <f aca="false">-Valuation!G64</f>
        <v>-87768.9876214364</v>
      </c>
      <c r="G154" s="6" t="s">
        <v>648</v>
      </c>
    </row>
    <row r="155" customFormat="false" ht="14.25" hidden="false" customHeight="true" outlineLevel="0" collapsed="false">
      <c r="A155" s="6" t="s">
        <v>649</v>
      </c>
      <c r="B155" s="15" t="n">
        <f aca="false">-Valuation!G66</f>
        <v>-11529.5847080676</v>
      </c>
      <c r="G155" s="6"/>
    </row>
    <row r="156" customFormat="false" ht="14.25" hidden="false" customHeight="true" outlineLevel="0" collapsed="false">
      <c r="A156" s="6" t="s">
        <v>650</v>
      </c>
      <c r="B156" s="15" t="n">
        <f aca="false">-Valuation!G67</f>
        <v>-1724.98148262368</v>
      </c>
      <c r="G156" s="6"/>
    </row>
    <row r="157" customFormat="false" ht="14.25" hidden="false" customHeight="true" outlineLevel="0" collapsed="false">
      <c r="A157" s="6" t="s">
        <v>651</v>
      </c>
      <c r="B157" s="15" t="n">
        <f aca="false">-Valuation!G68</f>
        <v>4148.00080791267</v>
      </c>
      <c r="G157" s="6"/>
    </row>
    <row r="158" customFormat="false" ht="14.25" hidden="false" customHeight="true" outlineLevel="0" collapsed="false">
      <c r="A158" s="5" t="s">
        <v>652</v>
      </c>
      <c r="B158" s="62" t="n">
        <f aca="false">B153+SUM(B154:B157)</f>
        <v>191549.846995785</v>
      </c>
      <c r="G158" s="6" t="s">
        <v>653</v>
      </c>
    </row>
    <row r="159" customFormat="false" ht="14.25" hidden="false" customHeight="true" outlineLevel="0" collapsed="false">
      <c r="A159" s="6" t="s">
        <v>654</v>
      </c>
      <c r="B159" s="28" t="n">
        <f aca="false">B158/Valuation!F65</f>
        <v>238434.925599185</v>
      </c>
      <c r="G159" s="6"/>
    </row>
    <row r="160" customFormat="false" ht="14.25" hidden="false" customHeight="true" outlineLevel="0" collapsed="false">
      <c r="A160" s="6" t="s">
        <v>655</v>
      </c>
      <c r="B160" s="50" t="n">
        <f aca="false">B158/'Operating Model'!C86</f>
        <v>3.94395171709325</v>
      </c>
      <c r="G160" s="6"/>
    </row>
    <row r="161" customFormat="false" ht="14.25" hidden="false" customHeight="true" outlineLevel="0" collapsed="false">
      <c r="A161" s="6" t="s">
        <v>656</v>
      </c>
      <c r="B161" s="50" t="n">
        <f aca="false">B158/'Operating Model'!D86</f>
        <v>2.31997159829015</v>
      </c>
      <c r="G161" s="6"/>
    </row>
    <row r="162" customFormat="false" ht="14.25" hidden="false" customHeight="true" outlineLevel="0" collapsed="false">
      <c r="A162" s="6" t="s">
        <v>657</v>
      </c>
      <c r="B162" s="50" t="n">
        <f aca="false">B159/'Operating Model'!E86</f>
        <v>1.77287970488403</v>
      </c>
      <c r="G162" s="6" t="s">
        <v>658</v>
      </c>
    </row>
    <row r="163" customFormat="false" ht="14.25" hidden="false" customHeight="true" outlineLevel="0" collapsed="false">
      <c r="A163" s="6" t="s">
        <v>659</v>
      </c>
      <c r="B163" s="53" t="n">
        <f aca="false">Valuation!D65</f>
        <v>1.25</v>
      </c>
      <c r="G163" s="6"/>
    </row>
    <row r="164" customFormat="false" ht="14.25" hidden="false" customHeight="true" outlineLevel="0" collapsed="false">
      <c r="A164" s="6" t="s">
        <v>660</v>
      </c>
      <c r="B164" s="49" t="n">
        <f aca="false">IF('Operating Model'!E89&gt;0,B159/'Operating Model'!E89,NA())</f>
        <v>106.941752579373</v>
      </c>
      <c r="G164" s="6" t="s">
        <v>661</v>
      </c>
    </row>
    <row r="165" customFormat="false" ht="14.25" hidden="false" customHeight="true" outlineLevel="0" collapsed="false">
      <c r="A165" s="6" t="s">
        <v>662</v>
      </c>
      <c r="B165" s="49" t="n">
        <f aca="false">B159/'Operating Model'!G89</f>
        <v>19.6999370298394</v>
      </c>
      <c r="G165" s="6" t="s">
        <v>663</v>
      </c>
    </row>
    <row r="166" customFormat="false" ht="14.25" hidden="false" customHeight="true" outlineLevel="0" collapsed="false">
      <c r="A166" s="6" t="s">
        <v>664</v>
      </c>
      <c r="B166" s="28" t="n">
        <f aca="false">B159/20</f>
        <v>11921.7462799592</v>
      </c>
      <c r="G166" s="6"/>
    </row>
    <row r="167" customFormat="false" ht="14.25" hidden="false" customHeight="true" outlineLevel="0" collapsed="false">
      <c r="A167" s="6" t="s">
        <v>665</v>
      </c>
      <c r="B167" s="13" t="n">
        <f aca="false">B166/'Operating Model'!G86</f>
        <v>0.0382763189292914</v>
      </c>
      <c r="G167" s="6" t="s">
        <v>666</v>
      </c>
    </row>
    <row r="169" customFormat="false" ht="14.25" hidden="false" customHeight="true" outlineLevel="0" collapsed="false">
      <c r="A169" s="5" t="s">
        <v>531</v>
      </c>
    </row>
    <row r="170" customFormat="false" ht="14.25" hidden="false" customHeight="true" outlineLevel="0" collapsed="false">
      <c r="A170" s="6" t="s">
        <v>667</v>
      </c>
    </row>
    <row r="171" customFormat="false" ht="14.25" hidden="false" customHeight="true" outlineLevel="0" collapsed="false">
      <c r="A171" s="6" t="s">
        <v>668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2" width="5"/>
    <col collapsed="false" customWidth="true" hidden="false" outlineLevel="0" max="2" min="2" style="2" width="44"/>
    <col collapsed="false" customWidth="true" hidden="false" outlineLevel="0" max="3" min="3" style="2" width="58"/>
    <col collapsed="false" customWidth="true" hidden="false" outlineLevel="0" max="4" min="4" style="2" width="14"/>
    <col collapsed="false" customWidth="true" hidden="false" outlineLevel="0" max="5" min="5" style="2" width="90"/>
  </cols>
  <sheetData>
    <row r="1" customFormat="false" ht="15.75" hidden="false" customHeight="true" outlineLevel="0" collapsed="false">
      <c r="A1" s="20" t="s">
        <v>669</v>
      </c>
    </row>
    <row r="3" customFormat="false" ht="14.25" hidden="false" customHeight="true" outlineLevel="0" collapsed="false">
      <c r="A3" s="9" t="s">
        <v>670</v>
      </c>
      <c r="B3" s="9" t="s">
        <v>671</v>
      </c>
      <c r="C3" s="9" t="s">
        <v>672</v>
      </c>
      <c r="D3" s="9" t="s">
        <v>673</v>
      </c>
      <c r="E3" s="9" t="s">
        <v>674</v>
      </c>
    </row>
    <row r="4" customFormat="false" ht="27.75" hidden="false" customHeight="true" outlineLevel="0" collapsed="false">
      <c r="A4" s="6" t="n">
        <v>1</v>
      </c>
      <c r="B4" s="39" t="s">
        <v>675</v>
      </c>
      <c r="C4" s="39" t="s">
        <v>676</v>
      </c>
      <c r="D4" s="6" t="s">
        <v>677</v>
      </c>
      <c r="E4" s="39" t="s">
        <v>678</v>
      </c>
    </row>
    <row r="5" customFormat="false" ht="41.25" hidden="false" customHeight="true" outlineLevel="0" collapsed="false">
      <c r="A5" s="6" t="n">
        <v>2</v>
      </c>
      <c r="B5" s="39" t="s">
        <v>679</v>
      </c>
      <c r="C5" s="39" t="s">
        <v>680</v>
      </c>
      <c r="D5" s="6" t="s">
        <v>681</v>
      </c>
      <c r="E5" s="39" t="s">
        <v>682</v>
      </c>
    </row>
    <row r="6" customFormat="false" ht="41.25" hidden="false" customHeight="true" outlineLevel="0" collapsed="false">
      <c r="A6" s="6" t="n">
        <v>3</v>
      </c>
      <c r="B6" s="39" t="s">
        <v>683</v>
      </c>
      <c r="C6" s="39" t="s">
        <v>684</v>
      </c>
      <c r="D6" s="6" t="s">
        <v>681</v>
      </c>
      <c r="E6" s="39" t="s">
        <v>685</v>
      </c>
    </row>
    <row r="7" customFormat="false" ht="27.75" hidden="false" customHeight="true" outlineLevel="0" collapsed="false">
      <c r="A7" s="6" t="n">
        <v>4</v>
      </c>
      <c r="B7" s="39" t="s">
        <v>686</v>
      </c>
      <c r="C7" s="39" t="s">
        <v>687</v>
      </c>
      <c r="D7" s="6" t="s">
        <v>681</v>
      </c>
      <c r="E7" s="39" t="s">
        <v>688</v>
      </c>
    </row>
    <row r="8" customFormat="false" ht="41.25" hidden="false" customHeight="true" outlineLevel="0" collapsed="false">
      <c r="A8" s="6" t="n">
        <v>5</v>
      </c>
      <c r="B8" s="39" t="s">
        <v>689</v>
      </c>
      <c r="C8" s="39" t="s">
        <v>690</v>
      </c>
      <c r="D8" s="6" t="s">
        <v>691</v>
      </c>
      <c r="E8" s="39" t="s">
        <v>692</v>
      </c>
    </row>
    <row r="9" customFormat="false" ht="27.75" hidden="false" customHeight="true" outlineLevel="0" collapsed="false">
      <c r="A9" s="6" t="n">
        <v>6</v>
      </c>
      <c r="B9" s="39" t="s">
        <v>693</v>
      </c>
      <c r="C9" s="39" t="s">
        <v>694</v>
      </c>
      <c r="D9" s="6" t="s">
        <v>681</v>
      </c>
      <c r="E9" s="39" t="s">
        <v>695</v>
      </c>
    </row>
    <row r="10" customFormat="false" ht="14.25" hidden="false" customHeight="true" outlineLevel="0" collapsed="false">
      <c r="A10" s="6" t="n">
        <v>7</v>
      </c>
      <c r="B10" s="39" t="s">
        <v>696</v>
      </c>
      <c r="C10" s="39" t="s">
        <v>697</v>
      </c>
      <c r="D10" s="6" t="s">
        <v>681</v>
      </c>
      <c r="E10" s="39" t="s">
        <v>698</v>
      </c>
    </row>
    <row r="11" customFormat="false" ht="14.25" hidden="false" customHeight="true" outlineLevel="0" collapsed="false">
      <c r="A11" s="6" t="n">
        <v>8</v>
      </c>
      <c r="B11" s="39" t="s">
        <v>699</v>
      </c>
      <c r="C11" s="39" t="s">
        <v>700</v>
      </c>
      <c r="D11" s="6" t="s">
        <v>681</v>
      </c>
      <c r="E11" s="39" t="s">
        <v>701</v>
      </c>
    </row>
    <row r="12" customFormat="false" ht="27.75" hidden="false" customHeight="true" outlineLevel="0" collapsed="false">
      <c r="A12" s="6" t="n">
        <v>9</v>
      </c>
      <c r="B12" s="39" t="s">
        <v>702</v>
      </c>
      <c r="C12" s="39" t="s">
        <v>703</v>
      </c>
      <c r="D12" s="6" t="s">
        <v>704</v>
      </c>
      <c r="E12" s="39" t="s">
        <v>705</v>
      </c>
    </row>
    <row r="13" customFormat="false" ht="27.75" hidden="false" customHeight="true" outlineLevel="0" collapsed="false">
      <c r="A13" s="6" t="n">
        <v>10</v>
      </c>
      <c r="B13" s="39" t="s">
        <v>706</v>
      </c>
      <c r="C13" s="39" t="s">
        <v>707</v>
      </c>
      <c r="D13" s="6" t="s">
        <v>704</v>
      </c>
      <c r="E13" s="39" t="s">
        <v>708</v>
      </c>
    </row>
    <row r="14" customFormat="false" ht="27.75" hidden="false" customHeight="true" outlineLevel="0" collapsed="false">
      <c r="A14" s="6" t="n">
        <v>11</v>
      </c>
      <c r="B14" s="39" t="s">
        <v>709</v>
      </c>
      <c r="C14" s="39" t="s">
        <v>710</v>
      </c>
      <c r="D14" s="6" t="s">
        <v>704</v>
      </c>
      <c r="E14" s="39" t="s">
        <v>711</v>
      </c>
    </row>
    <row r="16" customFormat="false" ht="14.25" hidden="false" customHeight="true" outlineLevel="0" collapsed="false">
      <c r="B16" s="9" t="s">
        <v>712</v>
      </c>
      <c r="C16" s="9"/>
      <c r="D16" s="9"/>
      <c r="E16" s="9"/>
    </row>
    <row r="17" customFormat="false" ht="14.25" hidden="false" customHeight="true" outlineLevel="0" collapsed="false">
      <c r="B17" s="6" t="s">
        <v>713</v>
      </c>
    </row>
    <row r="18" customFormat="false" ht="14.25" hidden="false" customHeight="true" outlineLevel="0" collapsed="false">
      <c r="B18" s="6" t="s">
        <v>714</v>
      </c>
    </row>
    <row r="19" customFormat="false" ht="14.25" hidden="false" customHeight="true" outlineLevel="0" collapsed="false">
      <c r="B19" s="6" t="s">
        <v>715</v>
      </c>
    </row>
    <row r="20" customFormat="false" ht="14.25" hidden="false" customHeight="true" outlineLevel="0" collapsed="false">
      <c r="B20" s="6" t="s">
        <v>716</v>
      </c>
    </row>
    <row r="21" customFormat="false" ht="14.25" hidden="false" customHeight="true" outlineLevel="0" collapsed="false">
      <c r="B21" s="6" t="s">
        <v>717</v>
      </c>
    </row>
    <row r="22" customFormat="false" ht="14.25" hidden="false" customHeight="true" outlineLevel="0" collapsed="false">
      <c r="B22" s="6" t="s">
        <v>718</v>
      </c>
    </row>
    <row r="23" customFormat="false" ht="14.25" hidden="false" customHeight="true" outlineLevel="0" collapsed="false">
      <c r="B23" s="6" t="s">
        <v>719</v>
      </c>
    </row>
    <row r="24" customFormat="false" ht="14.25" hidden="false" customHeight="true" outlineLevel="0" collapsed="false">
      <c r="B24" s="6" t="s">
        <v>720</v>
      </c>
    </row>
    <row r="25" customFormat="false" ht="14.25" hidden="false" customHeight="true" outlineLevel="0" collapsed="false">
      <c r="B25" s="6" t="s">
        <v>721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2026-10-06T17:21:37Z</dcterms:created>
  <dc:creator>user</dc:creator>
  <dc:description/>
  <dc:language>en-US</dc:language>
  <cp:lastModifiedBy>user</cp:lastModifiedBy>
  <dcterms:modified xsi:type="dcterms:W3CDTF">2026-10-10T15:57:58Z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